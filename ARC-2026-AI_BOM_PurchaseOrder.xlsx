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M - Acrylic" sheetId="2" state="visible" r:id="rId2"/>
    <sheet name="BOM - Electronics" sheetId="3" state="visible" r:id="rId3"/>
    <sheet name="BOM - Hardware" sheetId="4" state="visible" r:id="rId4"/>
    <sheet name="BOM - Cabling" sheetId="5" state="visible" r:id="rId5"/>
    <sheet name="BOM - Consumables" sheetId="6" state="visible" r:id="rId6"/>
    <sheet name="Purchase Ord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1A1A1C"/>
      <sz val="14"/>
    </font>
    <font>
      <name val="Arial"/>
      <b val="1"/>
      <color rgb="003D3830"/>
      <sz val="11"/>
    </font>
    <font>
      <name val="Arial"/>
      <sz val="10"/>
    </font>
    <font>
      <name val="Arial"/>
      <b val="1"/>
      <color rgb="00D4D0C8"/>
      <sz val="11"/>
    </font>
    <font>
      <name val="Arial"/>
      <b val="1"/>
      <sz val="10"/>
    </font>
    <font>
      <name val="Arial"/>
      <b val="1"/>
      <color rgb="001A1A1C"/>
      <sz val="12"/>
    </font>
    <font>
      <name val="Arial"/>
      <b val="1"/>
      <sz val="12"/>
    </font>
    <font>
      <name val="Arial"/>
      <b val="1"/>
      <color rgb="001A1A1C"/>
      <sz val="11"/>
    </font>
    <font>
      <name val="Arial"/>
      <b val="1"/>
      <color rgb="001A1A1C"/>
      <sz val="16"/>
    </font>
  </fonts>
  <fills count="7">
    <fill>
      <patternFill/>
    </fill>
    <fill>
      <patternFill patternType="gray125"/>
    </fill>
    <fill>
      <patternFill patternType="solid">
        <fgColor rgb="001A1A1C"/>
      </patternFill>
    </fill>
    <fill>
      <patternFill patternType="solid">
        <fgColor rgb="00F2F0ED"/>
      </patternFill>
    </fill>
    <fill>
      <patternFill patternType="solid">
        <fgColor rgb="00FFFFFF"/>
      </patternFill>
    </fill>
    <fill>
      <patternFill patternType="solid">
        <fgColor rgb="00E8E5E0"/>
      </patternFill>
    </fill>
    <fill>
      <patternFill patternType="solid">
        <fgColor rgb="00C8A96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3" fillId="3" borderId="1" pivotButton="0" quotePrefix="0" xfId="0"/>
    <xf numFmtId="164" fontId="3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5" fillId="5" borderId="0" pivotButton="0" quotePrefix="0" xfId="0"/>
    <xf numFmtId="164" fontId="5" fillId="5" borderId="0" pivotButton="0" quotePrefix="0" xfId="0"/>
    <xf numFmtId="0" fontId="5" fillId="0" borderId="0" pivotButton="0" quotePrefix="0" xfId="0"/>
    <xf numFmtId="0" fontId="8" fillId="6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THE ARCHIVE — Ambient Intelligence</t>
        </is>
      </c>
    </row>
    <row r="3">
      <c r="B3" s="2" t="inlineStr">
        <is>
          <t>Purchase Order &amp; Bill of Materials</t>
        </is>
      </c>
    </row>
    <row r="4">
      <c r="B4" s="3" t="inlineStr">
        <is>
          <t>Project Code: ARC-2026-AI</t>
        </is>
      </c>
    </row>
    <row r="5">
      <c r="B5" s="3" t="inlineStr">
        <is>
          <t>Date: 2026-03-14</t>
        </is>
      </c>
    </row>
    <row r="6">
      <c r="B6" s="3" t="inlineStr">
        <is>
          <t>Version: April 2026</t>
        </is>
      </c>
    </row>
    <row r="7">
      <c r="B7" s="3" t="inlineStr">
        <is>
          <t>Configuration: 8 Display Panels + 1 Control Surface</t>
        </is>
      </c>
    </row>
    <row r="9">
      <c r="A9" s="4" t="inlineStr"/>
      <c r="B9" s="4" t="inlineStr">
        <is>
          <t>Category</t>
        </is>
      </c>
      <c r="C9" s="4" t="inlineStr">
        <is>
          <t>Items</t>
        </is>
      </c>
      <c r="D9" s="4" t="inlineStr">
        <is>
          <t>Subtotal</t>
        </is>
      </c>
      <c r="E9" s="4" t="inlineStr"/>
    </row>
    <row r="10">
      <c r="A10" s="5" t="n"/>
      <c r="B10" s="5" t="inlineStr">
        <is>
          <t>Acrylic &amp; Laser Cutting</t>
        </is>
      </c>
      <c r="C10" s="5" t="n"/>
      <c r="D10" s="6">
        <f>'BOM - Acrylic'!H15</f>
        <v/>
      </c>
      <c r="E10" s="5" t="n"/>
    </row>
    <row r="11">
      <c r="A11" s="7" t="n"/>
      <c r="B11" s="7" t="inlineStr">
        <is>
          <t>Electronics</t>
        </is>
      </c>
      <c r="C11" s="7" t="n"/>
      <c r="D11" s="8">
        <f>'BOM - Electronics'!H23</f>
        <v/>
      </c>
      <c r="E11" s="7" t="n"/>
    </row>
    <row r="12">
      <c r="A12" s="5" t="n"/>
      <c r="B12" s="5" t="inlineStr">
        <is>
          <t>Hardware &amp; Fasteners</t>
        </is>
      </c>
      <c r="C12" s="5" t="n"/>
      <c r="D12" s="6">
        <f>'BOM - Hardware'!H14</f>
        <v/>
      </c>
      <c r="E12" s="5" t="n"/>
    </row>
    <row r="13">
      <c r="A13" s="7" t="n"/>
      <c r="B13" s="7" t="inlineStr">
        <is>
          <t>Cabling &amp; Power</t>
        </is>
      </c>
      <c r="C13" s="7" t="n"/>
      <c r="D13" s="8">
        <f>'BOM - Cabling'!H15</f>
        <v/>
      </c>
      <c r="E13" s="7" t="n"/>
    </row>
    <row r="14">
      <c r="A14" s="5" t="n"/>
      <c r="B14" s="5" t="inlineStr">
        <is>
          <t>Consumables &amp; Tools</t>
        </is>
      </c>
      <c r="C14" s="5" t="n"/>
      <c r="D14" s="6">
        <f>'BOM - Consumables'!H13</f>
        <v/>
      </c>
      <c r="E14" s="5" t="n"/>
    </row>
    <row r="15">
      <c r="A15" s="9" t="n"/>
      <c r="B15" s="9" t="inlineStr">
        <is>
          <t>SUBTOTAL (Materials)</t>
        </is>
      </c>
      <c r="C15" s="9" t="n"/>
      <c r="D15" s="10">
        <f>SUM(D10:D14)</f>
        <v/>
      </c>
      <c r="E15" s="9" t="n"/>
    </row>
    <row r="16">
      <c r="A16" s="5" t="n"/>
      <c r="B16" s="5" t="inlineStr">
        <is>
          <t>Estimated Shipping (10%)</t>
        </is>
      </c>
      <c r="C16" s="5" t="n"/>
      <c r="D16" s="6">
        <f>D15*0.10</f>
        <v/>
      </c>
      <c r="E16" s="5" t="n"/>
    </row>
    <row r="17">
      <c r="A17" s="7" t="n"/>
      <c r="B17" s="7" t="inlineStr">
        <is>
          <t>Estimated Tax (8.5%)</t>
        </is>
      </c>
      <c r="C17" s="7" t="n"/>
      <c r="D17" s="8">
        <f>D15*0.085</f>
        <v/>
      </c>
      <c r="E17" s="7" t="n"/>
    </row>
    <row r="18">
      <c r="A18" s="5" t="n"/>
      <c r="B18" s="5" t="inlineStr">
        <is>
          <t>Contingency (10%)</t>
        </is>
      </c>
      <c r="C18" s="5" t="n"/>
      <c r="D18" s="6">
        <f>D15*0.10</f>
        <v/>
      </c>
      <c r="E18" s="5" t="n"/>
    </row>
    <row r="19">
      <c r="A19" s="9" t="n"/>
      <c r="B19" s="9" t="inlineStr">
        <is>
          <t>GRAND TOTAL</t>
        </is>
      </c>
      <c r="C19" s="9" t="n"/>
      <c r="D19" s="10">
        <f>SUM(D15:D18)</f>
        <v/>
      </c>
      <c r="E19" s="9" t="n"/>
    </row>
    <row r="21">
      <c r="B21" s="11" t="inlineStr">
        <is>
          <t>Notes:</t>
        </is>
      </c>
    </row>
    <row r="22">
      <c r="B22" s="3" t="inlineStr">
        <is>
          <t>1. All prices are estimates based on typical US retail/online pricing as of March 2026.</t>
        </is>
      </c>
    </row>
    <row r="23">
      <c r="B23" s="3" t="inlineStr">
        <is>
          <t>2. Quantities include 8 display panels + 1 control surface unless noted.</t>
        </is>
      </c>
    </row>
    <row r="24">
      <c r="B24" s="3" t="inlineStr">
        <is>
          <t>3. ESP32 DevKit selected for built-in WiFi; optional W5500 Ethernet modules listed separately.</t>
        </is>
      </c>
    </row>
    <row r="25">
      <c r="B25" s="3" t="inlineStr">
        <is>
          <t>4. Noctua fans are optional per-panel; included for all 8 panels in this estimate.</t>
        </is>
      </c>
    </row>
    <row r="26">
      <c r="B26" s="3" t="inlineStr">
        <is>
          <t>5. Laser cutting priced at typical makerspace / online service rates.</t>
        </is>
      </c>
    </row>
    <row r="27">
      <c r="B27" s="3" t="inlineStr">
        <is>
          <t>6. Acrylic sourced as cut-to-size sheets; bulk sheet pricing may reduce cost.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0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</cols>
  <sheetData>
    <row r="1">
      <c r="A1" s="4" t="inlineStr">
        <is>
          <t>Item #</t>
        </is>
      </c>
      <c r="B1" s="4" t="inlineStr">
        <is>
          <t>Part Description</t>
        </is>
      </c>
      <c r="C1" s="4" t="inlineStr">
        <is>
          <t>Material / Spec</t>
        </is>
      </c>
      <c r="D1" s="4" t="inlineStr">
        <is>
          <t>Qty/Panel</t>
        </is>
      </c>
      <c r="E1" s="4" t="inlineStr">
        <is>
          <t>Total Qty</t>
        </is>
      </c>
      <c r="F1" s="4" t="inlineStr">
        <is>
          <t>Unit Price</t>
        </is>
      </c>
      <c r="G1" s="4" t="inlineStr">
        <is>
          <t>Ext. Price</t>
        </is>
      </c>
      <c r="H1" s="4" t="inlineStr">
        <is>
          <t>Supplier</t>
        </is>
      </c>
      <c r="I1" s="4" t="inlineStr">
        <is>
          <t>Notes</t>
        </is>
      </c>
    </row>
    <row r="2">
      <c r="A2" s="7" t="n">
        <v>1</v>
      </c>
      <c r="B2" s="7" t="inlineStr">
        <is>
          <t>Backplate Panel</t>
        </is>
      </c>
      <c r="C2" s="7" t="inlineStr">
        <is>
          <t>Smoked 3mm acrylic, 12"×16" (304.8×406.4mm)</t>
        </is>
      </c>
      <c r="D2" s="7" t="inlineStr">
        <is>
          <t>1/panel</t>
        </is>
      </c>
      <c r="E2" s="7" t="n">
        <v>8</v>
      </c>
      <c r="F2" s="8" t="n">
        <v>12</v>
      </c>
      <c r="G2" s="8">
        <f>E2*F2</f>
        <v/>
      </c>
      <c r="H2" s="7" t="inlineStr">
        <is>
          <t>TAP Plastics</t>
        </is>
      </c>
      <c r="I2" s="7" t="inlineStr">
        <is>
          <t>Laser etch: grid, topo, specimen ID</t>
        </is>
      </c>
    </row>
    <row r="3">
      <c r="A3" s="5" t="n">
        <v>2</v>
      </c>
      <c r="B3" s="5" t="inlineStr">
        <is>
          <t>Mounting Layer Panel</t>
        </is>
      </c>
      <c r="C3" s="5" t="inlineStr">
        <is>
          <t>Clear 3mm acrylic, 12"×16" (304.8×406.4mm)</t>
        </is>
      </c>
      <c r="D3" s="5" t="inlineStr">
        <is>
          <t>1/panel</t>
        </is>
      </c>
      <c r="E3" s="5" t="n">
        <v>8</v>
      </c>
      <c r="F3" s="6" t="n">
        <v>8</v>
      </c>
      <c r="G3" s="6">
        <f>E3*F3</f>
        <v/>
      </c>
      <c r="H3" s="5" t="inlineStr">
        <is>
          <t>TAP Plastics</t>
        </is>
      </c>
      <c r="I3" s="5" t="inlineStr">
        <is>
          <t>Custom device cutouts per artist</t>
        </is>
      </c>
    </row>
    <row r="4">
      <c r="A4" s="7" t="n">
        <v>3</v>
      </c>
      <c r="B4" s="7" t="inlineStr">
        <is>
          <t>Info Strip</t>
        </is>
      </c>
      <c r="C4" s="7" t="inlineStr">
        <is>
          <t>Black 3mm acrylic, 12"×2" (304.8×50mm)</t>
        </is>
      </c>
      <c r="D4" s="7" t="inlineStr">
        <is>
          <t>1/panel</t>
        </is>
      </c>
      <c r="E4" s="7" t="n">
        <v>8</v>
      </c>
      <c r="F4" s="8" t="n">
        <v>4</v>
      </c>
      <c r="G4" s="8">
        <f>E4*F4</f>
        <v/>
      </c>
      <c r="H4" s="7" t="inlineStr">
        <is>
          <t>TAP Plastics</t>
        </is>
      </c>
      <c r="I4" s="7" t="inlineStr">
        <is>
          <t>OLED window + metadata etching</t>
        </is>
      </c>
    </row>
    <row r="5">
      <c r="A5" s="5" t="n">
        <v>4</v>
      </c>
      <c r="B5" s="5" t="inlineStr">
        <is>
          <t>Edge-Lit Accent Strip</t>
        </is>
      </c>
      <c r="C5" s="5" t="inlineStr">
        <is>
          <t>Fluorescent 3mm acrylic, assorted colors, 12"×0.5"</t>
        </is>
      </c>
      <c r="D5" s="5" t="inlineStr">
        <is>
          <t>1/panel</t>
        </is>
      </c>
      <c r="E5" s="5" t="n">
        <v>8</v>
      </c>
      <c r="F5" s="6" t="n">
        <v>6</v>
      </c>
      <c r="G5" s="6">
        <f>E5*F5</f>
        <v/>
      </c>
      <c r="H5" s="5" t="inlineStr">
        <is>
          <t>Canal Plastics</t>
        </is>
      </c>
      <c r="I5" s="5" t="inlineStr">
        <is>
          <t>Unique color per artist (green/orange/cyan)</t>
        </is>
      </c>
    </row>
    <row r="6">
      <c r="A6" s="7" t="n">
        <v>5</v>
      </c>
      <c r="B6" s="7" t="inlineStr">
        <is>
          <t>Control Surface Panel</t>
        </is>
      </c>
      <c r="C6" s="7" t="inlineStr">
        <is>
          <t>Smoked 3mm acrylic, 280×170mm (11"×6.7")</t>
        </is>
      </c>
      <c r="D6" s="7" t="inlineStr">
        <is>
          <t>1 total</t>
        </is>
      </c>
      <c r="E6" s="7" t="n">
        <v>1</v>
      </c>
      <c r="F6" s="8" t="n">
        <v>8</v>
      </c>
      <c r="G6" s="8">
        <f>E6*F6</f>
        <v/>
      </c>
      <c r="H6" s="7" t="inlineStr">
        <is>
          <t>TAP Plastics</t>
        </is>
      </c>
      <c r="I6" s="7" t="inlineStr">
        <is>
          <t>4× pot cutouts, RF spectrum etch</t>
        </is>
      </c>
    </row>
    <row r="7">
      <c r="A7" s="5" t="n">
        <v>6</v>
      </c>
      <c r="B7" s="5" t="inlineStr">
        <is>
          <t>Control Surface Edge Strip</t>
        </is>
      </c>
      <c r="C7" s="5" t="inlineStr">
        <is>
          <t>Cyan fluorescent 3mm acrylic, 280×10mm</t>
        </is>
      </c>
      <c r="D7" s="5" t="inlineStr">
        <is>
          <t>1 total</t>
        </is>
      </c>
      <c r="E7" s="5" t="n">
        <v>1</v>
      </c>
      <c r="F7" s="6" t="n">
        <v>3</v>
      </c>
      <c r="G7" s="6">
        <f>E7*F7</f>
        <v/>
      </c>
      <c r="H7" s="5" t="inlineStr">
        <is>
          <t>Canal Plastics</t>
        </is>
      </c>
      <c r="I7" s="5" t="inlineStr">
        <is>
          <t>Edge-lit accent for control panel</t>
        </is>
      </c>
    </row>
    <row r="8">
      <c r="A8" s="7" t="n">
        <v>7</v>
      </c>
      <c r="B8" s="7" t="inlineStr">
        <is>
          <t>Fan Bracket</t>
        </is>
      </c>
      <c r="C8" s="7" t="inlineStr">
        <is>
          <t>Clear 3mm acrylic, 80×55mm</t>
        </is>
      </c>
      <c r="D8" s="7" t="inlineStr">
        <is>
          <t>1/panel</t>
        </is>
      </c>
      <c r="E8" s="7" t="n">
        <v>8</v>
      </c>
      <c r="F8" s="8" t="n">
        <v>2</v>
      </c>
      <c r="G8" s="8">
        <f>E8*F8</f>
        <v/>
      </c>
      <c r="H8" s="7" t="inlineStr">
        <is>
          <t>TAP Plastics</t>
        </is>
      </c>
      <c r="I8" s="7" t="inlineStr">
        <is>
          <t>40mm Noctua fan mount</t>
        </is>
      </c>
    </row>
    <row r="9">
      <c r="A9" s="5" t="n">
        <v>8</v>
      </c>
      <c r="B9" s="5" t="inlineStr">
        <is>
          <t>Laser Cutting Service</t>
        </is>
      </c>
      <c r="C9" s="5" t="inlineStr">
        <is>
          <t>Cut + etch all layers: 24 panel layers + 1 control + 8 fan brackets = 33 pcs</t>
        </is>
      </c>
      <c r="D9" s="5" t="inlineStr">
        <is>
          <t>—</t>
        </is>
      </c>
      <c r="E9" s="5" t="n">
        <v>33</v>
      </c>
      <c r="F9" s="6" t="n">
        <v>15</v>
      </c>
      <c r="G9" s="6">
        <f>E9*F9</f>
        <v/>
      </c>
      <c r="H9" s="5" t="inlineStr">
        <is>
          <t>SendCutSend / Local</t>
        </is>
      </c>
      <c r="I9" s="5" t="inlineStr">
        <is>
          <t>3-color layer separation (cut/deep/light etch)</t>
        </is>
      </c>
    </row>
    <row r="10">
      <c r="A10" s="7" t="n">
        <v>9</v>
      </c>
      <c r="B10" s="7" t="inlineStr">
        <is>
          <t>Spare Acrylic Allowance</t>
        </is>
      </c>
      <c r="C10" s="7" t="inlineStr">
        <is>
          <t>15% waste/breakage buffer on all acrylic</t>
        </is>
      </c>
      <c r="D10" s="7" t="inlineStr">
        <is>
          <t>—</t>
        </is>
      </c>
      <c r="E10" s="7" t="n">
        <v>1</v>
      </c>
      <c r="F10" s="8" t="n">
        <v>15</v>
      </c>
      <c r="G10" s="8">
        <f>E10*F10</f>
        <v/>
      </c>
      <c r="H10" s="7" t="inlineStr">
        <is>
          <t>—</t>
        </is>
      </c>
      <c r="I10" s="7" t="inlineStr">
        <is>
          <t>Covers breakage during laser/assembly</t>
        </is>
      </c>
    </row>
    <row r="11">
      <c r="A11" s="9" t="inlineStr">
        <is>
          <t>SUBTOTAL</t>
        </is>
      </c>
      <c r="B11" s="9" t="n"/>
      <c r="C11" s="9" t="n"/>
      <c r="D11" s="9" t="n"/>
      <c r="E11" s="9" t="n"/>
      <c r="F11" s="9" t="n"/>
      <c r="G11" s="10">
        <f>SUM(G2:G10)</f>
        <v/>
      </c>
      <c r="H11" s="9" t="n"/>
      <c r="I11" s="9" t="n"/>
    </row>
  </sheetData>
  <mergeCells count="1"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0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</cols>
  <sheetData>
    <row r="1">
      <c r="A1" s="4" t="inlineStr">
        <is>
          <t>Item #</t>
        </is>
      </c>
      <c r="B1" s="4" t="inlineStr">
        <is>
          <t>Part Description</t>
        </is>
      </c>
      <c r="C1" s="4" t="inlineStr">
        <is>
          <t>Material / Spec</t>
        </is>
      </c>
      <c r="D1" s="4" t="inlineStr">
        <is>
          <t>Qty/Panel</t>
        </is>
      </c>
      <c r="E1" s="4" t="inlineStr">
        <is>
          <t>Total Qty</t>
        </is>
      </c>
      <c r="F1" s="4" t="inlineStr">
        <is>
          <t>Unit Price</t>
        </is>
      </c>
      <c r="G1" s="4" t="inlineStr">
        <is>
          <t>Ext. Price</t>
        </is>
      </c>
      <c r="H1" s="4" t="inlineStr">
        <is>
          <t>Supplier</t>
        </is>
      </c>
      <c r="I1" s="4" t="inlineStr">
        <is>
          <t>Notes</t>
        </is>
      </c>
    </row>
    <row r="2">
      <c r="A2" s="12" t="inlineStr">
        <is>
          <t>OLED DISPLAYS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7" t="n">
        <v>1</v>
      </c>
      <c r="B3" s="7" t="inlineStr">
        <is>
          <t>OLED Display Module</t>
        </is>
      </c>
      <c r="C3" s="7" t="inlineStr">
        <is>
          <t>0.96" 128×64 I2C SSD1306, white or blue</t>
        </is>
      </c>
      <c r="D3" s="7" t="inlineStr">
        <is>
          <t>1/panel</t>
        </is>
      </c>
      <c r="E3" s="7" t="n">
        <v>8</v>
      </c>
      <c r="F3" s="8" t="n">
        <v>4</v>
      </c>
      <c r="G3" s="8">
        <f>E3*F3</f>
        <v/>
      </c>
      <c r="H3" s="7" t="inlineStr">
        <is>
          <t>Amazon / AliExpress</t>
        </is>
      </c>
      <c r="I3" s="7" t="inlineStr">
        <is>
          <t>I2C addr 0x3C; drives via ESP32</t>
        </is>
      </c>
    </row>
    <row r="4">
      <c r="A4" s="5" t="n">
        <v>2</v>
      </c>
      <c r="B4" s="5" t="inlineStr">
        <is>
          <t>OLED Connector Cable</t>
        </is>
      </c>
      <c r="C4" s="5" t="inlineStr">
        <is>
          <t>4-pin JST-XH pre-crimped, 150mm</t>
        </is>
      </c>
      <c r="D4" s="5" t="inlineStr">
        <is>
          <t>1/panel</t>
        </is>
      </c>
      <c r="E4" s="5" t="n">
        <v>10</v>
      </c>
      <c r="F4" s="6" t="n">
        <v>0.5</v>
      </c>
      <c r="G4" s="6">
        <f>E4*F4</f>
        <v/>
      </c>
      <c r="H4" s="5" t="inlineStr">
        <is>
          <t>Amazon</t>
        </is>
      </c>
      <c r="I4" s="5" t="inlineStr">
        <is>
          <t>2 spares; VCC/GND/SDA/SCL</t>
        </is>
      </c>
    </row>
    <row r="5">
      <c r="A5" s="12" t="inlineStr">
        <is>
          <t>MICROCONTROLLERS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7" t="n">
        <v>3</v>
      </c>
      <c r="B6" s="7" t="inlineStr">
        <is>
          <t>ESP32 DevKit V1</t>
        </is>
      </c>
      <c r="C6" s="7" t="inlineStr">
        <is>
          <t>ESP-WROOM-32, WiFi+BT, USB-C, 38-pin</t>
        </is>
      </c>
      <c r="D6" s="7" t="inlineStr">
        <is>
          <t>1/panel</t>
        </is>
      </c>
      <c r="E6" s="7" t="n">
        <v>9</v>
      </c>
      <c r="F6" s="8" t="n">
        <v>6</v>
      </c>
      <c r="G6" s="8">
        <f>E6*F6</f>
        <v/>
      </c>
      <c r="H6" s="7" t="inlineStr">
        <is>
          <t>Amazon / AliExpress</t>
        </is>
      </c>
      <c r="I6" s="7" t="inlineStr">
        <is>
          <t>8 panels + 1 control surface</t>
        </is>
      </c>
    </row>
    <row r="7">
      <c r="A7" s="5" t="n">
        <v>4</v>
      </c>
      <c r="B7" s="5" t="inlineStr">
        <is>
          <t>ESP32 Ethernet Module (W5500)</t>
        </is>
      </c>
      <c r="C7" s="5" t="inlineStr">
        <is>
          <t>W5500 SPI Ethernet adapter for ESP32</t>
        </is>
      </c>
      <c r="D7" s="5" t="inlineStr">
        <is>
          <t>1/panel</t>
        </is>
      </c>
      <c r="E7" s="5" t="n">
        <v>9</v>
      </c>
      <c r="F7" s="6" t="n">
        <v>4</v>
      </c>
      <c r="G7" s="6">
        <f>E7*F7</f>
        <v/>
      </c>
      <c r="H7" s="5" t="inlineStr">
        <is>
          <t>Amazon / AliExpress</t>
        </is>
      </c>
      <c r="I7" s="5" t="inlineStr">
        <is>
          <t>Optional: for wired Maestra connection</t>
        </is>
      </c>
    </row>
    <row r="8">
      <c r="A8" s="12" t="inlineStr">
        <is>
          <t>NETWORKING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</row>
    <row r="9">
      <c r="A9" s="7" t="n">
        <v>5</v>
      </c>
      <c r="B9" s="7" t="inlineStr">
        <is>
          <t>Ethernet Cable Cat6</t>
        </is>
      </c>
      <c r="C9" s="7" t="inlineStr">
        <is>
          <t>3ft (1m) patch cable, black</t>
        </is>
      </c>
      <c r="D9" s="7" t="inlineStr">
        <is>
          <t>1/panel</t>
        </is>
      </c>
      <c r="E9" s="7" t="n">
        <v>9</v>
      </c>
      <c r="F9" s="8" t="n">
        <v>2</v>
      </c>
      <c r="G9" s="8">
        <f>E9*F9</f>
        <v/>
      </c>
      <c r="H9" s="7" t="inlineStr">
        <is>
          <t>Amazon</t>
        </is>
      </c>
      <c r="I9" s="7" t="inlineStr">
        <is>
          <t>If using wired Ethernet</t>
        </is>
      </c>
    </row>
    <row r="10">
      <c r="A10" s="5" t="n">
        <v>6</v>
      </c>
      <c r="B10" s="5" t="inlineStr">
        <is>
          <t>Ethernet Switch</t>
        </is>
      </c>
      <c r="C10" s="5" t="inlineStr">
        <is>
          <t>16-port unmanaged gigabit (TP-Link TL-SG116)</t>
        </is>
      </c>
      <c r="D10" s="5" t="inlineStr">
        <is>
          <t>1 total</t>
        </is>
      </c>
      <c r="E10" s="5" t="n">
        <v>1</v>
      </c>
      <c r="F10" s="6" t="n">
        <v>45</v>
      </c>
      <c r="G10" s="6">
        <f>E10*F10</f>
        <v/>
      </c>
      <c r="H10" s="5" t="inlineStr">
        <is>
          <t>Amazon</t>
        </is>
      </c>
      <c r="I10" s="5" t="inlineStr">
        <is>
          <t>All panels + Maestra + spare ports</t>
        </is>
      </c>
    </row>
    <row r="11">
      <c r="A11" s="7" t="n">
        <v>7</v>
      </c>
      <c r="B11" s="7" t="inlineStr">
        <is>
          <t>WiFi Access Point</t>
        </is>
      </c>
      <c r="C11" s="7" t="inlineStr">
        <is>
          <t>Dedicated 2.4GHz AP for panel mesh (optional)</t>
        </is>
      </c>
      <c r="D11" s="7" t="inlineStr">
        <is>
          <t>1 total</t>
        </is>
      </c>
      <c r="E11" s="7" t="n">
        <v>1</v>
      </c>
      <c r="F11" s="8" t="n">
        <v>40</v>
      </c>
      <c r="G11" s="8">
        <f>E11*F11</f>
        <v/>
      </c>
      <c r="H11" s="7" t="inlineStr">
        <is>
          <t>Amazon</t>
        </is>
      </c>
      <c r="I11" s="7" t="inlineStr">
        <is>
          <t>Alt to Ethernet; dedicated SSID for panels</t>
        </is>
      </c>
    </row>
    <row r="12">
      <c r="A12" s="12" t="inlineStr">
        <is>
          <t>CONTROL SURFACE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5" t="n">
        <v>8</v>
      </c>
      <c r="B13" s="5" t="inlineStr">
        <is>
          <t>Rotary Potentiometer 10kΩ</t>
        </is>
      </c>
      <c r="C13" s="5" t="inlineStr">
        <is>
          <t>B10K linear taper, 16mm panel mount, 6mm shaft</t>
        </is>
      </c>
      <c r="D13" s="5" t="inlineStr">
        <is>
          <t>4/ctrl</t>
        </is>
      </c>
      <c r="E13" s="5" t="n">
        <v>4</v>
      </c>
      <c r="F13" s="6" t="n">
        <v>2</v>
      </c>
      <c r="G13" s="6">
        <f>E13*F13</f>
        <v/>
      </c>
      <c r="H13" s="5" t="inlineStr">
        <is>
          <t>Mouser / DigiKey</t>
        </is>
      </c>
      <c r="I13" s="5" t="inlineStr">
        <is>
          <t>Freq/Gain/Drift/Blend controls</t>
        </is>
      </c>
    </row>
    <row r="14">
      <c r="A14" s="7" t="n">
        <v>9</v>
      </c>
      <c r="B14" s="7" t="inlineStr">
        <is>
          <t>Potentiometer Knobs</t>
        </is>
      </c>
      <c r="C14" s="7" t="inlineStr">
        <is>
          <t>Aluminum knurled, black, 6mm D-shaft</t>
        </is>
      </c>
      <c r="D14" s="7" t="inlineStr">
        <is>
          <t>4/ctrl</t>
        </is>
      </c>
      <c r="E14" s="7" t="n">
        <v>4</v>
      </c>
      <c r="F14" s="8" t="n">
        <v>3</v>
      </c>
      <c r="G14" s="8">
        <f>E14*F14</f>
        <v/>
      </c>
      <c r="H14" s="7" t="inlineStr">
        <is>
          <t>Amazon / Mouser</t>
        </is>
      </c>
      <c r="I14" s="7" t="inlineStr">
        <is>
          <t>Tactile feel, industrial aesthetic</t>
        </is>
      </c>
    </row>
    <row r="15">
      <c r="A15" s="5" t="n">
        <v>10</v>
      </c>
      <c r="B15" s="5" t="inlineStr">
        <is>
          <t>Anti-Rotation Washer</t>
        </is>
      </c>
      <c r="C15" s="5" t="inlineStr">
        <is>
          <t>Tab washer for 16mm pot, prevents spin</t>
        </is>
      </c>
      <c r="D15" s="5" t="inlineStr">
        <is>
          <t>4/ctrl</t>
        </is>
      </c>
      <c r="E15" s="5" t="n">
        <v>4</v>
      </c>
      <c r="F15" s="6" t="n">
        <v>0.25</v>
      </c>
      <c r="G15" s="6">
        <f>E15*F15</f>
        <v/>
      </c>
      <c r="H15" s="5" t="inlineStr">
        <is>
          <t>Mouser</t>
        </is>
      </c>
      <c r="I15" s="5" t="inlineStr">
        <is>
          <t>Matches control surface anti-rotation tabs</t>
        </is>
      </c>
    </row>
    <row r="16">
      <c r="A16" s="12" t="inlineStr">
        <is>
          <t>POWER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7" t="n">
        <v>11</v>
      </c>
      <c r="B17" s="7" t="inlineStr">
        <is>
          <t>5V 10A Power Supply</t>
        </is>
      </c>
      <c r="C17" s="7" t="inlineStr">
        <is>
          <t>Mean Well LRS-50-5 or equiv, 50W</t>
        </is>
      </c>
      <c r="D17" s="7" t="inlineStr">
        <is>
          <t>1 total</t>
        </is>
      </c>
      <c r="E17" s="7" t="n">
        <v>1</v>
      </c>
      <c r="F17" s="8" t="n">
        <v>18</v>
      </c>
      <c r="G17" s="8">
        <f>E17*F17</f>
        <v/>
      </c>
      <c r="H17" s="7" t="inlineStr">
        <is>
          <t>Mouser / Amazon</t>
        </is>
      </c>
      <c r="I17" s="7" t="inlineStr">
        <is>
          <t>Central PSU for all panels</t>
        </is>
      </c>
    </row>
    <row r="18">
      <c r="A18" s="5" t="n">
        <v>12</v>
      </c>
      <c r="B18" s="5" t="inlineStr">
        <is>
          <t>Power Distribution Board</t>
        </is>
      </c>
      <c r="C18" s="5" t="inlineStr">
        <is>
          <t>5V DC bus bar / screw terminal strip, 10-pos</t>
        </is>
      </c>
      <c r="D18" s="5" t="inlineStr">
        <is>
          <t>1 total</t>
        </is>
      </c>
      <c r="E18" s="5" t="n">
        <v>1</v>
      </c>
      <c r="F18" s="6" t="n">
        <v>12</v>
      </c>
      <c r="G18" s="6">
        <f>E18*F18</f>
        <v/>
      </c>
      <c r="H18" s="5" t="inlineStr">
        <is>
          <t>Amazon</t>
        </is>
      </c>
      <c r="I18" s="5" t="inlineStr">
        <is>
          <t>Fan-out 5V to all panels</t>
        </is>
      </c>
    </row>
    <row r="19">
      <c r="A19" s="7" t="n">
        <v>13</v>
      </c>
      <c r="B19" s="7" t="inlineStr">
        <is>
          <t>DC Barrel Jack Breakout</t>
        </is>
      </c>
      <c r="C19" s="7" t="inlineStr">
        <is>
          <t>5.5×2.1mm to screw terminal</t>
        </is>
      </c>
      <c r="D19" s="7" t="inlineStr">
        <is>
          <t>1/panel</t>
        </is>
      </c>
      <c r="E19" s="7" t="n">
        <v>9</v>
      </c>
      <c r="F19" s="8" t="n">
        <v>1</v>
      </c>
      <c r="G19" s="8">
        <f>E19*F19</f>
        <v/>
      </c>
      <c r="H19" s="7" t="inlineStr">
        <is>
          <t>Amazon</t>
        </is>
      </c>
      <c r="I19" s="7" t="inlineStr">
        <is>
          <t>Per-panel power input</t>
        </is>
      </c>
    </row>
    <row r="20">
      <c r="A20" s="12" t="inlineStr">
        <is>
          <t>PASSIVE COMPONENTS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5" t="n">
        <v>14</v>
      </c>
      <c r="B21" s="5" t="inlineStr">
        <is>
          <t>10kΩ Resistors (pack)</t>
        </is>
      </c>
      <c r="C21" s="5" t="inlineStr">
        <is>
          <t>1/4W, 5%, carbon film, 100-pack</t>
        </is>
      </c>
      <c r="D21" s="5" t="inlineStr">
        <is>
          <t>1 pack</t>
        </is>
      </c>
      <c r="E21" s="5" t="n">
        <v>1</v>
      </c>
      <c r="F21" s="6" t="n">
        <v>3</v>
      </c>
      <c r="G21" s="6">
        <f>E21*F21</f>
        <v/>
      </c>
      <c r="H21" s="5" t="inlineStr">
        <is>
          <t>Mouser / Amazon</t>
        </is>
      </c>
      <c r="I21" s="5" t="inlineStr">
        <is>
          <t>I2C pull-ups, voltage dividers</t>
        </is>
      </c>
    </row>
    <row r="22">
      <c r="A22" s="7" t="n">
        <v>15</v>
      </c>
      <c r="B22" s="7" t="inlineStr">
        <is>
          <t>4.7kΩ Resistors (pack)</t>
        </is>
      </c>
      <c r="C22" s="7" t="inlineStr">
        <is>
          <t>1/4W, 5%, carbon film, 100-pack</t>
        </is>
      </c>
      <c r="D22" s="7" t="inlineStr">
        <is>
          <t>1 pack</t>
        </is>
      </c>
      <c r="E22" s="7" t="n">
        <v>1</v>
      </c>
      <c r="F22" s="8" t="n">
        <v>3</v>
      </c>
      <c r="G22" s="8">
        <f>E22*F22</f>
        <v/>
      </c>
      <c r="H22" s="7" t="inlineStr">
        <is>
          <t>Mouser</t>
        </is>
      </c>
      <c r="I22" s="7" t="inlineStr">
        <is>
          <t>I2C pull-ups (SDA/SCL)</t>
        </is>
      </c>
    </row>
    <row r="23">
      <c r="A23" s="5" t="n">
        <v>16</v>
      </c>
      <c r="B23" s="5" t="inlineStr">
        <is>
          <t>0.1µF Ceramic Capacitors</t>
        </is>
      </c>
      <c r="C23" s="5" t="inlineStr">
        <is>
          <t>MLCC, 50V, pack of 50</t>
        </is>
      </c>
      <c r="D23" s="5" t="inlineStr">
        <is>
          <t>1 pack</t>
        </is>
      </c>
      <c r="E23" s="5" t="n">
        <v>1</v>
      </c>
      <c r="F23" s="6" t="n">
        <v>3</v>
      </c>
      <c r="G23" s="6">
        <f>E23*F23</f>
        <v/>
      </c>
      <c r="H23" s="5" t="inlineStr">
        <is>
          <t>Mouser / DigiKey</t>
        </is>
      </c>
      <c r="I23" s="5" t="inlineStr">
        <is>
          <t>Decoupling per MCU</t>
        </is>
      </c>
    </row>
    <row r="24">
      <c r="A24" s="7" t="n">
        <v>17</v>
      </c>
      <c r="B24" s="7" t="inlineStr">
        <is>
          <t>100µF Electrolytic Caps</t>
        </is>
      </c>
      <c r="C24" s="7" t="inlineStr">
        <is>
          <t>25V, radial, low ESR</t>
        </is>
      </c>
      <c r="D24" s="7" t="inlineStr">
        <is>
          <t>1/panel</t>
        </is>
      </c>
      <c r="E24" s="7" t="n">
        <v>10</v>
      </c>
      <c r="F24" s="8" t="n">
        <v>0.5</v>
      </c>
      <c r="G24" s="8">
        <f>E24*F24</f>
        <v/>
      </c>
      <c r="H24" s="7" t="inlineStr">
        <is>
          <t>Mouser</t>
        </is>
      </c>
      <c r="I24" s="7" t="inlineStr">
        <is>
          <t>Bulk power filtering per panel</t>
        </is>
      </c>
    </row>
    <row r="25">
      <c r="A25" s="5" t="n">
        <v>18</v>
      </c>
      <c r="B25" s="5" t="inlineStr">
        <is>
          <t>Prototype Perfboard</t>
        </is>
      </c>
      <c r="C25" s="5" t="inlineStr">
        <is>
          <t>5×7cm, double-sided, FR4</t>
        </is>
      </c>
      <c r="D25" s="5" t="inlineStr">
        <is>
          <t>1/panel</t>
        </is>
      </c>
      <c r="E25" s="5" t="n">
        <v>10</v>
      </c>
      <c r="F25" s="6" t="n">
        <v>1</v>
      </c>
      <c r="G25" s="6">
        <f>E25*F25</f>
        <v/>
      </c>
      <c r="H25" s="5" t="inlineStr">
        <is>
          <t>Amazon</t>
        </is>
      </c>
      <c r="I25" s="5" t="inlineStr">
        <is>
          <t>Custom breakout/adapter boards</t>
        </is>
      </c>
    </row>
    <row r="26">
      <c r="A26" s="12" t="inlineStr">
        <is>
          <t>THERMAL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7" t="n">
        <v>19</v>
      </c>
      <c r="B27" s="7" t="inlineStr">
        <is>
          <t>40mm Noctua Fan</t>
        </is>
      </c>
      <c r="C27" s="7" t="inlineStr">
        <is>
          <t>NF-A4x10 5V, 4-pin PWM, 17.9 dBA</t>
        </is>
      </c>
      <c r="D27" s="7" t="inlineStr">
        <is>
          <t>1/panel</t>
        </is>
      </c>
      <c r="E27" s="7" t="n">
        <v>8</v>
      </c>
      <c r="F27" s="8" t="n">
        <v>14</v>
      </c>
      <c r="G27" s="8">
        <f>E27*F27</f>
        <v/>
      </c>
      <c r="H27" s="7" t="inlineStr">
        <is>
          <t>Amazon / Noctua</t>
        </is>
      </c>
      <c r="I27" s="7" t="inlineStr">
        <is>
          <t>Ultra-quiet; mounts in fan bracket</t>
        </is>
      </c>
    </row>
    <row r="28">
      <c r="A28" s="9" t="inlineStr">
        <is>
          <t>SUBTOTAL</t>
        </is>
      </c>
      <c r="B28" s="9" t="n"/>
      <c r="C28" s="9" t="n"/>
      <c r="D28" s="9" t="n"/>
      <c r="E28" s="9" t="n"/>
      <c r="F28" s="9" t="n"/>
      <c r="G28" s="10">
        <f>SUM(G2:G27)</f>
        <v/>
      </c>
      <c r="H28" s="9" t="n"/>
      <c r="I28" s="9" t="n"/>
    </row>
  </sheetData>
  <mergeCells count="8">
    <mergeCell ref="A26:I26"/>
    <mergeCell ref="A2:I2"/>
    <mergeCell ref="A28:F28"/>
    <mergeCell ref="A5:I5"/>
    <mergeCell ref="A8:I8"/>
    <mergeCell ref="A12:I12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0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</cols>
  <sheetData>
    <row r="1">
      <c r="A1" s="4" t="inlineStr">
        <is>
          <t>Item #</t>
        </is>
      </c>
      <c r="B1" s="4" t="inlineStr">
        <is>
          <t>Part Description</t>
        </is>
      </c>
      <c r="C1" s="4" t="inlineStr">
        <is>
          <t>Material / Spec</t>
        </is>
      </c>
      <c r="D1" s="4" t="inlineStr">
        <is>
          <t>Qty/Panel</t>
        </is>
      </c>
      <c r="E1" s="4" t="inlineStr">
        <is>
          <t>Total Qty</t>
        </is>
      </c>
      <c r="F1" s="4" t="inlineStr">
        <is>
          <t>Unit Price</t>
        </is>
      </c>
      <c r="G1" s="4" t="inlineStr">
        <is>
          <t>Ext. Price</t>
        </is>
      </c>
      <c r="H1" s="4" t="inlineStr">
        <is>
          <t>Supplier</t>
        </is>
      </c>
      <c r="I1" s="4" t="inlineStr">
        <is>
          <t>Notes</t>
        </is>
      </c>
    </row>
    <row r="2">
      <c r="A2" s="7" t="n">
        <v>1</v>
      </c>
      <c r="B2" s="7" t="inlineStr">
        <is>
          <t>M3×15mm Brass Standoffs</t>
        </is>
      </c>
      <c r="C2" s="7" t="inlineStr">
        <is>
          <t>Hex, male-female, brass</t>
        </is>
      </c>
      <c r="D2" s="7" t="inlineStr">
        <is>
          <t>12/panel</t>
        </is>
      </c>
      <c r="E2" s="7" t="n">
        <v>100</v>
      </c>
      <c r="F2" s="8" t="n">
        <v>0.25</v>
      </c>
      <c r="G2" s="8">
        <f>E2*F2</f>
        <v/>
      </c>
      <c r="H2" s="7" t="inlineStr">
        <is>
          <t>McMaster-Carr</t>
        </is>
      </c>
      <c r="I2" s="7" t="inlineStr">
        <is>
          <t>Panel layer spacing (15-20mm gap)</t>
        </is>
      </c>
    </row>
    <row r="3">
      <c r="A3" s="5" t="n">
        <v>2</v>
      </c>
      <c r="B3" s="5" t="inlineStr">
        <is>
          <t>M3×6mm Socket Head Screws</t>
        </is>
      </c>
      <c r="C3" s="5" t="inlineStr">
        <is>
          <t>Stainless steel, Allen key</t>
        </is>
      </c>
      <c r="D3" s="5" t="inlineStr">
        <is>
          <t>12/panel</t>
        </is>
      </c>
      <c r="E3" s="5" t="n">
        <v>110</v>
      </c>
      <c r="F3" s="6" t="n">
        <v>0.1</v>
      </c>
      <c r="G3" s="6">
        <f>E3*F3</f>
        <v/>
      </c>
      <c r="H3" s="5" t="inlineStr">
        <is>
          <t>McMaster-Carr</t>
        </is>
      </c>
      <c r="I3" s="5" t="inlineStr">
        <is>
          <t>Standoff attachment through acrylic</t>
        </is>
      </c>
    </row>
    <row r="4">
      <c r="A4" s="7" t="n">
        <v>3</v>
      </c>
      <c r="B4" s="7" t="inlineStr">
        <is>
          <t>M3 Hex Nuts</t>
        </is>
      </c>
      <c r="C4" s="7" t="inlineStr">
        <is>
          <t>Stainless steel</t>
        </is>
      </c>
      <c r="D4" s="7" t="inlineStr">
        <is>
          <t>12/panel</t>
        </is>
      </c>
      <c r="E4" s="7" t="n">
        <v>100</v>
      </c>
      <c r="F4" s="8" t="n">
        <v>0.05</v>
      </c>
      <c r="G4" s="8">
        <f>E4*F4</f>
        <v/>
      </c>
      <c r="H4" s="7" t="inlineStr">
        <is>
          <t>McMaster-Carr</t>
        </is>
      </c>
      <c r="I4" s="7" t="inlineStr">
        <is>
          <t>Standoff locking</t>
        </is>
      </c>
    </row>
    <row r="5">
      <c r="A5" s="5" t="n">
        <v>4</v>
      </c>
      <c r="B5" s="5" t="inlineStr">
        <is>
          <t>M3 Nylon Washers</t>
        </is>
      </c>
      <c r="C5" s="5" t="inlineStr">
        <is>
          <t>Clear nylon, prevents acrylic cracking</t>
        </is>
      </c>
      <c r="D5" s="5" t="inlineStr">
        <is>
          <t>24/panel</t>
        </is>
      </c>
      <c r="E5" s="5" t="n">
        <v>200</v>
      </c>
      <c r="F5" s="6" t="n">
        <v>0.03</v>
      </c>
      <c r="G5" s="6">
        <f>E5*F5</f>
        <v/>
      </c>
      <c r="H5" s="5" t="inlineStr">
        <is>
          <t>McMaster-Carr</t>
        </is>
      </c>
      <c r="I5" s="5" t="inlineStr">
        <is>
          <t>Both sides of each acrylic hole</t>
        </is>
      </c>
    </row>
    <row r="6">
      <c r="A6" s="7" t="n">
        <v>5</v>
      </c>
      <c r="B6" s="7" t="inlineStr">
        <is>
          <t>M4×20mm Socket Head Screws</t>
        </is>
      </c>
      <c r="C6" s="7" t="inlineStr">
        <is>
          <t>Stainless steel</t>
        </is>
      </c>
      <c r="D6" s="7" t="inlineStr">
        <is>
          <t>6/panel</t>
        </is>
      </c>
      <c r="E6" s="7" t="n">
        <v>55</v>
      </c>
      <c r="F6" s="8" t="n">
        <v>0.15</v>
      </c>
      <c r="G6" s="8">
        <f>E6*F6</f>
        <v/>
      </c>
      <c r="H6" s="7" t="inlineStr">
        <is>
          <t>McMaster-Carr</t>
        </is>
      </c>
      <c r="I6" s="7" t="inlineStr">
        <is>
          <t>French cleat wall mounting</t>
        </is>
      </c>
    </row>
    <row r="7">
      <c r="A7" s="5" t="n">
        <v>6</v>
      </c>
      <c r="B7" s="5" t="inlineStr">
        <is>
          <t>M4 Hex Nuts</t>
        </is>
      </c>
      <c r="C7" s="5" t="inlineStr">
        <is>
          <t>Stainless steel</t>
        </is>
      </c>
      <c r="D7" s="5" t="inlineStr">
        <is>
          <t>6/panel</t>
        </is>
      </c>
      <c r="E7" s="5" t="n">
        <v>55</v>
      </c>
      <c r="F7" s="6" t="n">
        <v>0.08</v>
      </c>
      <c r="G7" s="6">
        <f>E7*F7</f>
        <v/>
      </c>
      <c r="H7" s="5" t="inlineStr">
        <is>
          <t>McMaster-Carr</t>
        </is>
      </c>
      <c r="I7" s="5" t="inlineStr">
        <is>
          <t>Wall mount fastening</t>
        </is>
      </c>
    </row>
    <row r="8">
      <c r="A8" s="7" t="n">
        <v>7</v>
      </c>
      <c r="B8" s="7" t="inlineStr">
        <is>
          <t>M4 Nylon Washers</t>
        </is>
      </c>
      <c r="C8" s="7" t="inlineStr">
        <is>
          <t>Clear nylon</t>
        </is>
      </c>
      <c r="D8" s="7" t="inlineStr">
        <is>
          <t>6/panel</t>
        </is>
      </c>
      <c r="E8" s="7" t="n">
        <v>55</v>
      </c>
      <c r="F8" s="8" t="n">
        <v>0.05</v>
      </c>
      <c r="G8" s="8">
        <f>E8*F8</f>
        <v/>
      </c>
      <c r="H8" s="7" t="inlineStr">
        <is>
          <t>McMaster-Carr</t>
        </is>
      </c>
      <c r="I8" s="7" t="inlineStr">
        <is>
          <t>Acrylic protection at mount points</t>
        </is>
      </c>
    </row>
    <row r="9">
      <c r="A9" s="5" t="n">
        <v>8</v>
      </c>
      <c r="B9" s="5" t="inlineStr">
        <is>
          <t>M3×8mm Screws (Fan Mount)</t>
        </is>
      </c>
      <c r="C9" s="5" t="inlineStr">
        <is>
          <t>Stainless steel, pan head</t>
        </is>
      </c>
      <c r="D9" s="5" t="inlineStr">
        <is>
          <t>4/bracket</t>
        </is>
      </c>
      <c r="E9" s="5" t="n">
        <v>40</v>
      </c>
      <c r="F9" s="6" t="n">
        <v>0.1</v>
      </c>
      <c r="G9" s="6">
        <f>E9*F9</f>
        <v/>
      </c>
      <c r="H9" s="5" t="inlineStr">
        <is>
          <t>McMaster-Carr</t>
        </is>
      </c>
      <c r="I9" s="5" t="inlineStr">
        <is>
          <t>Fan to bracket attachment</t>
        </is>
      </c>
    </row>
    <row r="10">
      <c r="A10" s="7" t="n">
        <v>9</v>
      </c>
      <c r="B10" s="7" t="inlineStr">
        <is>
          <t>M3×12mm Screws (Bracket)</t>
        </is>
      </c>
      <c r="C10" s="7" t="inlineStr">
        <is>
          <t>Stainless steel, pan head</t>
        </is>
      </c>
      <c r="D10" s="7" t="inlineStr">
        <is>
          <t>4/bracket</t>
        </is>
      </c>
      <c r="E10" s="7" t="n">
        <v>40</v>
      </c>
      <c r="F10" s="8" t="n">
        <v>0.1</v>
      </c>
      <c r="G10" s="8">
        <f>E10*F10</f>
        <v/>
      </c>
      <c r="H10" s="7" t="inlineStr">
        <is>
          <t>McMaster-Carr</t>
        </is>
      </c>
      <c r="I10" s="7" t="inlineStr">
        <is>
          <t>Bracket to panel attachment</t>
        </is>
      </c>
    </row>
    <row r="11">
      <c r="A11" s="5" t="n">
        <v>10</v>
      </c>
      <c r="B11" s="5" t="inlineStr">
        <is>
          <t>French Cleat Rail (12")</t>
        </is>
      </c>
      <c r="C11" s="5" t="inlineStr">
        <is>
          <t>Aluminum, interlocking Z-profile</t>
        </is>
      </c>
      <c r="D11" s="5" t="inlineStr">
        <is>
          <t>1/panel</t>
        </is>
      </c>
      <c r="E11" s="5" t="n">
        <v>8</v>
      </c>
      <c r="F11" s="6" t="n">
        <v>5</v>
      </c>
      <c r="G11" s="6">
        <f>E11*F11</f>
        <v/>
      </c>
      <c r="H11" s="5" t="inlineStr">
        <is>
          <t>Amazon</t>
        </is>
      </c>
      <c r="I11" s="5" t="inlineStr">
        <is>
          <t>Wall-side + panel-side pair</t>
        </is>
      </c>
    </row>
    <row r="12">
      <c r="A12" s="7" t="n">
        <v>11</v>
      </c>
      <c r="B12" s="7" t="inlineStr">
        <is>
          <t>Wall Anchors + Screws</t>
        </is>
      </c>
      <c r="C12" s="7" t="inlineStr">
        <is>
          <t>Heavy-duty drywall anchors, #10</t>
        </is>
      </c>
      <c r="D12" s="7" t="inlineStr">
        <is>
          <t>2/panel</t>
        </is>
      </c>
      <c r="E12" s="7" t="n">
        <v>16</v>
      </c>
      <c r="F12" s="8" t="n">
        <v>0.5</v>
      </c>
      <c r="G12" s="8">
        <f>E12*F12</f>
        <v/>
      </c>
      <c r="H12" s="7" t="inlineStr">
        <is>
          <t>Amazon</t>
        </is>
      </c>
      <c r="I12" s="7" t="inlineStr">
        <is>
          <t>For French cleat wall mounting</t>
        </is>
      </c>
    </row>
    <row r="13">
      <c r="A13" s="9" t="inlineStr">
        <is>
          <t>SUBTOTAL</t>
        </is>
      </c>
      <c r="B13" s="9" t="n"/>
      <c r="C13" s="9" t="n"/>
      <c r="D13" s="9" t="n"/>
      <c r="E13" s="9" t="n"/>
      <c r="F13" s="9" t="n"/>
      <c r="G13" s="10">
        <f>SUM(G2:G12)</f>
        <v/>
      </c>
      <c r="H13" s="9" t="n"/>
      <c r="I13" s="9" t="n"/>
    </row>
  </sheetData>
  <mergeCells count="1">
    <mergeCell ref="A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0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</cols>
  <sheetData>
    <row r="1">
      <c r="A1" s="4" t="inlineStr">
        <is>
          <t>Item #</t>
        </is>
      </c>
      <c r="B1" s="4" t="inlineStr">
        <is>
          <t>Part Description</t>
        </is>
      </c>
      <c r="C1" s="4" t="inlineStr">
        <is>
          <t>Material / Spec</t>
        </is>
      </c>
      <c r="D1" s="4" t="inlineStr">
        <is>
          <t>Qty/Panel</t>
        </is>
      </c>
      <c r="E1" s="4" t="inlineStr">
        <is>
          <t>Total Qty</t>
        </is>
      </c>
      <c r="F1" s="4" t="inlineStr">
        <is>
          <t>Unit Price</t>
        </is>
      </c>
      <c r="G1" s="4" t="inlineStr">
        <is>
          <t>Ext. Price</t>
        </is>
      </c>
      <c r="H1" s="4" t="inlineStr">
        <is>
          <t>Supplier</t>
        </is>
      </c>
      <c r="I1" s="4" t="inlineStr">
        <is>
          <t>Notes</t>
        </is>
      </c>
    </row>
    <row r="2">
      <c r="A2" s="7" t="n">
        <v>1</v>
      </c>
      <c r="B2" s="7" t="inlineStr">
        <is>
          <t>USB-C Cable (6ft)</t>
        </is>
      </c>
      <c r="C2" s="7" t="inlineStr">
        <is>
          <t>USB-A to USB-C, data+power, braided</t>
        </is>
      </c>
      <c r="D2" s="7" t="inlineStr">
        <is>
          <t>1/panel</t>
        </is>
      </c>
      <c r="E2" s="7" t="n">
        <v>9</v>
      </c>
      <c r="F2" s="8" t="n">
        <v>4</v>
      </c>
      <c r="G2" s="8">
        <f>E2*F2</f>
        <v/>
      </c>
      <c r="H2" s="7" t="inlineStr">
        <is>
          <t>Amazon</t>
        </is>
      </c>
      <c r="I2" s="7" t="inlineStr">
        <is>
          <t>ESP32 programming &amp; power</t>
        </is>
      </c>
    </row>
    <row r="3">
      <c r="A3" s="5" t="n">
        <v>2</v>
      </c>
      <c r="B3" s="5" t="inlineStr">
        <is>
          <t>Silicone Hook-up Wire Set</t>
        </is>
      </c>
      <c r="C3" s="5" t="inlineStr">
        <is>
          <t>22AWG, 6 colors × 25ft spools</t>
        </is>
      </c>
      <c r="D3" s="5" t="inlineStr">
        <is>
          <t>1 set</t>
        </is>
      </c>
      <c r="E3" s="5" t="n">
        <v>1</v>
      </c>
      <c r="F3" s="6" t="n">
        <v>15</v>
      </c>
      <c r="G3" s="6">
        <f>E3*F3</f>
        <v/>
      </c>
      <c r="H3" s="5" t="inlineStr">
        <is>
          <t>Amazon</t>
        </is>
      </c>
      <c r="I3" s="5" t="inlineStr">
        <is>
          <t>Internal panel wiring (I2C, power, signal)</t>
        </is>
      </c>
    </row>
    <row r="4">
      <c r="A4" s="7" t="n">
        <v>3</v>
      </c>
      <c r="B4" s="7" t="inlineStr">
        <is>
          <t>Dupont Jumper Wire Set</t>
        </is>
      </c>
      <c r="C4" s="7" t="inlineStr">
        <is>
          <t>M-F, F-F, M-M, 40-pin ribbon, 20cm</t>
        </is>
      </c>
      <c r="D4" s="7" t="inlineStr">
        <is>
          <t>1 pack</t>
        </is>
      </c>
      <c r="E4" s="7" t="n">
        <v>3</v>
      </c>
      <c r="F4" s="8" t="n">
        <v>4</v>
      </c>
      <c r="G4" s="8">
        <f>E4*F4</f>
        <v/>
      </c>
      <c r="H4" s="7" t="inlineStr">
        <is>
          <t>Amazon</t>
        </is>
      </c>
      <c r="I4" s="7" t="inlineStr">
        <is>
          <t>Prototyping &amp; ESP32 connections</t>
        </is>
      </c>
    </row>
    <row r="5">
      <c r="A5" s="5" t="n">
        <v>4</v>
      </c>
      <c r="B5" s="5" t="inlineStr">
        <is>
          <t>4-pin JST-XH Connector Pairs</t>
        </is>
      </c>
      <c r="C5" s="5" t="inlineStr">
        <is>
          <t>Pre-crimped leads, 2.54mm pitch</t>
        </is>
      </c>
      <c r="D5" s="5" t="inlineStr">
        <is>
          <t>1/panel</t>
        </is>
      </c>
      <c r="E5" s="5" t="n">
        <v>10</v>
      </c>
      <c r="F5" s="6" t="n">
        <v>0.5</v>
      </c>
      <c r="G5" s="6">
        <f>E5*F5</f>
        <v/>
      </c>
      <c r="H5" s="5" t="inlineStr">
        <is>
          <t>Amazon</t>
        </is>
      </c>
      <c r="I5" s="5" t="inlineStr">
        <is>
          <t>OLED I2C detachable connection</t>
        </is>
      </c>
    </row>
    <row r="6">
      <c r="A6" s="7" t="n">
        <v>5</v>
      </c>
      <c r="B6" s="7" t="inlineStr">
        <is>
          <t>2-pin JST-XH Connector Pairs</t>
        </is>
      </c>
      <c r="C6" s="7" t="inlineStr">
        <is>
          <t>Pre-crimped leads, 2.54mm pitch</t>
        </is>
      </c>
      <c r="D6" s="7" t="inlineStr">
        <is>
          <t>2/panel</t>
        </is>
      </c>
      <c r="E6" s="7" t="n">
        <v>20</v>
      </c>
      <c r="F6" s="8" t="n">
        <v>0.25</v>
      </c>
      <c r="G6" s="8">
        <f>E6*F6</f>
        <v/>
      </c>
      <c r="H6" s="7" t="inlineStr">
        <is>
          <t>Amazon</t>
        </is>
      </c>
      <c r="I6" s="7" t="inlineStr">
        <is>
          <t>Power connections (fan, OLED, etc.)</t>
        </is>
      </c>
    </row>
    <row r="7">
      <c r="A7" s="5" t="n">
        <v>6</v>
      </c>
      <c r="B7" s="5" t="inlineStr">
        <is>
          <t>Braided Cable Sleeve (50ft)</t>
        </is>
      </c>
      <c r="C7" s="5" t="inlineStr">
        <is>
          <t>6mm matte black PET expandable</t>
        </is>
      </c>
      <c r="D7" s="5" t="inlineStr">
        <is>
          <t>—</t>
        </is>
      </c>
      <c r="E7" s="5" t="n">
        <v>1</v>
      </c>
      <c r="F7" s="6" t="n">
        <v>12</v>
      </c>
      <c r="G7" s="6">
        <f>E7*F7</f>
        <v/>
      </c>
      <c r="H7" s="5" t="inlineStr">
        <is>
          <t>Amazon</t>
        </is>
      </c>
      <c r="I7" s="5" t="inlineStr">
        <is>
          <t>Per design spec: matte black mesh</t>
        </is>
      </c>
    </row>
    <row r="8">
      <c r="A8" s="7" t="n">
        <v>7</v>
      </c>
      <c r="B8" s="7" t="inlineStr">
        <is>
          <t>Heat Shrink Tubing Kit</t>
        </is>
      </c>
      <c r="C8" s="7" t="inlineStr">
        <is>
          <t>Assorted dia, black, 2:1 ratio</t>
        </is>
      </c>
      <c r="D8" s="7" t="inlineStr">
        <is>
          <t>—</t>
        </is>
      </c>
      <c r="E8" s="7" t="n">
        <v>1</v>
      </c>
      <c r="F8" s="8" t="n">
        <v>6</v>
      </c>
      <c r="G8" s="8">
        <f>E8*F8</f>
        <v/>
      </c>
      <c r="H8" s="7" t="inlineStr">
        <is>
          <t>Amazon</t>
        </is>
      </c>
      <c r="I8" s="7" t="inlineStr">
        <is>
          <t>Cable termination and labeling</t>
        </is>
      </c>
    </row>
    <row r="9">
      <c r="A9" s="5" t="n">
        <v>8</v>
      </c>
      <c r="B9" s="5" t="inlineStr">
        <is>
          <t>Heat Shrink Label Tape</t>
        </is>
      </c>
      <c r="C9" s="5" t="inlineStr">
        <is>
          <t>White on black, 6mm, monospace print</t>
        </is>
      </c>
      <c r="D9" s="5" t="inlineStr">
        <is>
          <t>—</t>
        </is>
      </c>
      <c r="E9" s="5" t="n">
        <v>1</v>
      </c>
      <c r="F9" s="6" t="n">
        <v>8</v>
      </c>
      <c r="G9" s="6">
        <f>E9*F9</f>
        <v/>
      </c>
      <c r="H9" s="5" t="inlineStr">
        <is>
          <t>Amazon</t>
        </is>
      </c>
      <c r="I9" s="5" t="inlineStr">
        <is>
          <t>Monospace font cable ID labels</t>
        </is>
      </c>
    </row>
    <row r="10">
      <c r="A10" s="7" t="n">
        <v>9</v>
      </c>
      <c r="B10" s="7" t="inlineStr">
        <is>
          <t>18AWG Silicone Wire (Red)</t>
        </is>
      </c>
      <c r="C10" s="7" t="inlineStr">
        <is>
          <t>25ft spool, high-strand silicone</t>
        </is>
      </c>
      <c r="D10" s="7" t="inlineStr">
        <is>
          <t>—</t>
        </is>
      </c>
      <c r="E10" s="7" t="n">
        <v>1</v>
      </c>
      <c r="F10" s="8" t="n">
        <v>5</v>
      </c>
      <c r="G10" s="8">
        <f>E10*F10</f>
        <v/>
      </c>
      <c r="H10" s="7" t="inlineStr">
        <is>
          <t>Amazon</t>
        </is>
      </c>
      <c r="I10" s="7" t="inlineStr">
        <is>
          <t>5V power distribution trunk</t>
        </is>
      </c>
    </row>
    <row r="11">
      <c r="A11" s="5" t="n">
        <v>10</v>
      </c>
      <c r="B11" s="5" t="inlineStr">
        <is>
          <t>18AWG Silicone Wire (Black)</t>
        </is>
      </c>
      <c r="C11" s="5" t="inlineStr">
        <is>
          <t>25ft spool, high-strand silicone</t>
        </is>
      </c>
      <c r="D11" s="5" t="inlineStr">
        <is>
          <t>—</t>
        </is>
      </c>
      <c r="E11" s="5" t="n">
        <v>1</v>
      </c>
      <c r="F11" s="6" t="n">
        <v>5</v>
      </c>
      <c r="G11" s="6">
        <f>E11*F11</f>
        <v/>
      </c>
      <c r="H11" s="5" t="inlineStr">
        <is>
          <t>Amazon</t>
        </is>
      </c>
      <c r="I11" s="5" t="inlineStr">
        <is>
          <t>GND power distribution trunk</t>
        </is>
      </c>
    </row>
    <row r="12">
      <c r="A12" s="7" t="n">
        <v>11</v>
      </c>
      <c r="B12" s="7" t="inlineStr">
        <is>
          <t>Cable Ties (100-pack)</t>
        </is>
      </c>
      <c r="C12" s="7" t="inlineStr">
        <is>
          <t>4" black nylon, releasable preferred</t>
        </is>
      </c>
      <c r="D12" s="7" t="inlineStr">
        <is>
          <t>—</t>
        </is>
      </c>
      <c r="E12" s="7" t="n">
        <v>1</v>
      </c>
      <c r="F12" s="8" t="n">
        <v>3</v>
      </c>
      <c r="G12" s="8">
        <f>E12*F12</f>
        <v/>
      </c>
      <c r="H12" s="7" t="inlineStr">
        <is>
          <t>Amazon</t>
        </is>
      </c>
      <c r="I12" s="7" t="inlineStr">
        <is>
          <t>Internal cable management</t>
        </is>
      </c>
    </row>
    <row r="13">
      <c r="A13" s="5" t="n">
        <v>12</v>
      </c>
      <c r="B13" s="5" t="inlineStr">
        <is>
          <t>Adhesive Cable Clips (50-pack)</t>
        </is>
      </c>
      <c r="C13" s="5" t="inlineStr">
        <is>
          <t>Black, self-adhesive, 6mm</t>
        </is>
      </c>
      <c r="D13" s="5" t="inlineStr">
        <is>
          <t>—</t>
        </is>
      </c>
      <c r="E13" s="5" t="n">
        <v>1</v>
      </c>
      <c r="F13" s="6" t="n">
        <v>5</v>
      </c>
      <c r="G13" s="6">
        <f>E13*F13</f>
        <v/>
      </c>
      <c r="H13" s="5" t="inlineStr">
        <is>
          <t>Amazon</t>
        </is>
      </c>
      <c r="I13" s="5" t="inlineStr">
        <is>
          <t>Wall/panel cable routing</t>
        </is>
      </c>
    </row>
    <row r="14">
      <c r="A14" s="7" t="n">
        <v>13</v>
      </c>
      <c r="B14" s="7" t="inlineStr">
        <is>
          <t>IEC Power Cable</t>
        </is>
      </c>
      <c r="C14" s="7" t="inlineStr">
        <is>
          <t>C14 to C13, 6ft, for Mean Well PSU</t>
        </is>
      </c>
      <c r="D14" s="7" t="inlineStr">
        <is>
          <t>1 total</t>
        </is>
      </c>
      <c r="E14" s="7" t="n">
        <v>1</v>
      </c>
      <c r="F14" s="8" t="n">
        <v>5</v>
      </c>
      <c r="G14" s="8">
        <f>E14*F14</f>
        <v/>
      </c>
      <c r="H14" s="7" t="inlineStr">
        <is>
          <t>Amazon</t>
        </is>
      </c>
      <c r="I14" s="7" t="inlineStr">
        <is>
          <t>Wall outlet to central PSU</t>
        </is>
      </c>
    </row>
    <row r="15">
      <c r="A15" s="9" t="inlineStr">
        <is>
          <t>SUBTOTAL</t>
        </is>
      </c>
      <c r="B15" s="9" t="n"/>
      <c r="C15" s="9" t="n"/>
      <c r="D15" s="9" t="n"/>
      <c r="E15" s="9" t="n"/>
      <c r="F15" s="9" t="n"/>
      <c r="G15" s="10">
        <f>SUM(G2:G14)</f>
        <v/>
      </c>
      <c r="H15" s="9" t="n"/>
      <c r="I15" s="9" t="n"/>
    </row>
  </sheetData>
  <mergeCells count="1"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0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</cols>
  <sheetData>
    <row r="1">
      <c r="A1" s="4" t="inlineStr">
        <is>
          <t>Item #</t>
        </is>
      </c>
      <c r="B1" s="4" t="inlineStr">
        <is>
          <t>Part Description</t>
        </is>
      </c>
      <c r="C1" s="4" t="inlineStr">
        <is>
          <t>Material / Spec</t>
        </is>
      </c>
      <c r="D1" s="4" t="inlineStr">
        <is>
          <t>Qty/Panel</t>
        </is>
      </c>
      <c r="E1" s="4" t="inlineStr">
        <is>
          <t>Total Qty</t>
        </is>
      </c>
      <c r="F1" s="4" t="inlineStr">
        <is>
          <t>Unit Price</t>
        </is>
      </c>
      <c r="G1" s="4" t="inlineStr">
        <is>
          <t>Ext. Price</t>
        </is>
      </c>
      <c r="H1" s="4" t="inlineStr">
        <is>
          <t>Supplier</t>
        </is>
      </c>
      <c r="I1" s="4" t="inlineStr">
        <is>
          <t>Notes</t>
        </is>
      </c>
    </row>
    <row r="2">
      <c r="A2" s="7" t="n">
        <v>1</v>
      </c>
      <c r="B2" s="7" t="inlineStr">
        <is>
          <t>Acrylic Cement (Weld-On #4)</t>
        </is>
      </c>
      <c r="C2" s="7" t="inlineStr">
        <is>
          <t>Water-thin solvent cement, 4oz</t>
        </is>
      </c>
      <c r="D2" s="7" t="inlineStr">
        <is>
          <t>—</t>
        </is>
      </c>
      <c r="E2" s="7" t="n">
        <v>1</v>
      </c>
      <c r="F2" s="8" t="n">
        <v>8</v>
      </c>
      <c r="G2" s="8">
        <f>E2*F2</f>
        <v/>
      </c>
      <c r="H2" s="7" t="inlineStr">
        <is>
          <t>TAP Plastics</t>
        </is>
      </c>
      <c r="I2" s="7" t="inlineStr">
        <is>
          <t>Info strip bonding to panel</t>
        </is>
      </c>
    </row>
    <row r="3">
      <c r="A3" s="5" t="n">
        <v>2</v>
      </c>
      <c r="B3" s="5" t="inlineStr">
        <is>
          <t>Isopropyl Alcohol 99%</t>
        </is>
      </c>
      <c r="C3" s="5" t="inlineStr">
        <is>
          <t>16oz bottle</t>
        </is>
      </c>
      <c r="D3" s="5" t="inlineStr">
        <is>
          <t>—</t>
        </is>
      </c>
      <c r="E3" s="5" t="n">
        <v>1</v>
      </c>
      <c r="F3" s="6" t="n">
        <v>5</v>
      </c>
      <c r="G3" s="6">
        <f>E3*F3</f>
        <v/>
      </c>
      <c r="H3" s="5" t="inlineStr">
        <is>
          <t>Amazon</t>
        </is>
      </c>
      <c r="I3" s="5" t="inlineStr">
        <is>
          <t>Acrylic cleaning before assembly</t>
        </is>
      </c>
    </row>
    <row r="4">
      <c r="A4" s="7" t="n">
        <v>3</v>
      </c>
      <c r="B4" s="7" t="inlineStr">
        <is>
          <t>Microfiber Cloths (10-pack)</t>
        </is>
      </c>
      <c r="C4" s="7" t="inlineStr">
        <is>
          <t>Lint-free, soft</t>
        </is>
      </c>
      <c r="D4" s="7" t="inlineStr">
        <is>
          <t>—</t>
        </is>
      </c>
      <c r="E4" s="7" t="n">
        <v>1</v>
      </c>
      <c r="F4" s="8" t="n">
        <v>6</v>
      </c>
      <c r="G4" s="8">
        <f>E4*F4</f>
        <v/>
      </c>
      <c r="H4" s="7" t="inlineStr">
        <is>
          <t>Amazon</t>
        </is>
      </c>
      <c r="I4" s="7" t="inlineStr">
        <is>
          <t>Acrylic polishing &amp; cleaning</t>
        </is>
      </c>
    </row>
    <row r="5">
      <c r="A5" s="5" t="n">
        <v>4</v>
      </c>
      <c r="B5" s="5" t="inlineStr">
        <is>
          <t>Solder Wire</t>
        </is>
      </c>
      <c r="C5" s="5" t="inlineStr">
        <is>
          <t>60/40 rosin core, 0.8mm, 100g</t>
        </is>
      </c>
      <c r="D5" s="5" t="inlineStr">
        <is>
          <t>—</t>
        </is>
      </c>
      <c r="E5" s="5" t="n">
        <v>1</v>
      </c>
      <c r="F5" s="6" t="n">
        <v>8</v>
      </c>
      <c r="G5" s="6">
        <f>E5*F5</f>
        <v/>
      </c>
      <c r="H5" s="5" t="inlineStr">
        <is>
          <t>Amazon</t>
        </is>
      </c>
      <c r="I5" s="5" t="inlineStr">
        <is>
          <t>Electronics assembly</t>
        </is>
      </c>
    </row>
    <row r="6">
      <c r="A6" s="7" t="n">
        <v>5</v>
      </c>
      <c r="B6" s="7" t="inlineStr">
        <is>
          <t>Flux Pen</t>
        </is>
      </c>
      <c r="C6" s="7" t="inlineStr">
        <is>
          <t>No-clean liquid flux</t>
        </is>
      </c>
      <c r="D6" s="7" t="inlineStr">
        <is>
          <t>—</t>
        </is>
      </c>
      <c r="E6" s="7" t="n">
        <v>1</v>
      </c>
      <c r="F6" s="8" t="n">
        <v>5</v>
      </c>
      <c r="G6" s="8">
        <f>E6*F6</f>
        <v/>
      </c>
      <c r="H6" s="7" t="inlineStr">
        <is>
          <t>Amazon</t>
        </is>
      </c>
      <c r="I6" s="7" t="inlineStr">
        <is>
          <t>Improved solder flow</t>
        </is>
      </c>
    </row>
    <row r="7">
      <c r="A7" s="5" t="n">
        <v>6</v>
      </c>
      <c r="B7" s="5" t="inlineStr">
        <is>
          <t>Kapton Tape</t>
        </is>
      </c>
      <c r="C7" s="5" t="inlineStr">
        <is>
          <t>12mm × 30m, polyimide</t>
        </is>
      </c>
      <c r="D7" s="5" t="inlineStr">
        <is>
          <t>—</t>
        </is>
      </c>
      <c r="E7" s="5" t="n">
        <v>1</v>
      </c>
      <c r="F7" s="6" t="n">
        <v>6</v>
      </c>
      <c r="G7" s="6">
        <f>E7*F7</f>
        <v/>
      </c>
      <c r="H7" s="5" t="inlineStr">
        <is>
          <t>Amazon</t>
        </is>
      </c>
      <c r="I7" s="5" t="inlineStr">
        <is>
          <t>Heat protection &amp; insulation</t>
        </is>
      </c>
    </row>
    <row r="8">
      <c r="A8" s="7" t="n">
        <v>7</v>
      </c>
      <c r="B8" s="7" t="inlineStr">
        <is>
          <t>3M VHB Double-Sided Tape</t>
        </is>
      </c>
      <c r="C8" s="7" t="inlineStr">
        <is>
          <t>12mm × 5m, clear, heavy duty</t>
        </is>
      </c>
      <c r="D8" s="7" t="inlineStr">
        <is>
          <t>—</t>
        </is>
      </c>
      <c r="E8" s="7" t="n">
        <v>1</v>
      </c>
      <c r="F8" s="8" t="n">
        <v>8</v>
      </c>
      <c r="G8" s="8">
        <f>E8*F8</f>
        <v/>
      </c>
      <c r="H8" s="7" t="inlineStr">
        <is>
          <t>Amazon</t>
        </is>
      </c>
      <c r="I8" s="7" t="inlineStr">
        <is>
          <t>OLED &amp; ESP32 mounting to acrylic</t>
        </is>
      </c>
    </row>
    <row r="9">
      <c r="A9" s="5" t="n">
        <v>8</v>
      </c>
      <c r="B9" s="5" t="inlineStr">
        <is>
          <t>Anti-Static Wrist Strap</t>
        </is>
      </c>
      <c r="C9" s="5" t="inlineStr">
        <is>
          <t>Adjustable, grounding clip</t>
        </is>
      </c>
      <c r="D9" s="5" t="inlineStr">
        <is>
          <t>—</t>
        </is>
      </c>
      <c r="E9" s="5" t="n">
        <v>1</v>
      </c>
      <c r="F9" s="6" t="n">
        <v>5</v>
      </c>
      <c r="G9" s="6">
        <f>E9*F9</f>
        <v/>
      </c>
      <c r="H9" s="5" t="inlineStr">
        <is>
          <t>Amazon</t>
        </is>
      </c>
      <c r="I9" s="5" t="inlineStr">
        <is>
          <t>ESD protection during assembly</t>
        </is>
      </c>
    </row>
    <row r="10">
      <c r="A10" s="7" t="n">
        <v>9</v>
      </c>
      <c r="B10" s="7" t="inlineStr">
        <is>
          <t>Nylon Standoff Kit (M2/M2.5/M3)</t>
        </is>
      </c>
      <c r="C10" s="7" t="inlineStr">
        <is>
          <t>Assorted lengths, 300-piece kit</t>
        </is>
      </c>
      <c r="D10" s="7" t="inlineStr">
        <is>
          <t>—</t>
        </is>
      </c>
      <c r="E10" s="7" t="n">
        <v>1</v>
      </c>
      <c r="F10" s="8" t="n">
        <v>10</v>
      </c>
      <c r="G10" s="8">
        <f>E10*F10</f>
        <v/>
      </c>
      <c r="H10" s="7" t="inlineStr">
        <is>
          <t>Amazon</t>
        </is>
      </c>
      <c r="I10" s="7" t="inlineStr">
        <is>
          <t>PCB &amp; OLED board mounting</t>
        </is>
      </c>
    </row>
    <row r="11">
      <c r="A11" s="5" t="n">
        <v>10</v>
      </c>
      <c r="B11" s="5" t="inlineStr">
        <is>
          <t>Loctite Blue 242</t>
        </is>
      </c>
      <c r="C11" s="5" t="inlineStr">
        <is>
          <t>Threadlocker, medium strength, 6ml</t>
        </is>
      </c>
      <c r="D11" s="5" t="inlineStr">
        <is>
          <t>—</t>
        </is>
      </c>
      <c r="E11" s="5" t="n">
        <v>1</v>
      </c>
      <c r="F11" s="6" t="n">
        <v>6</v>
      </c>
      <c r="G11" s="6">
        <f>E11*F11</f>
        <v/>
      </c>
      <c r="H11" s="5" t="inlineStr">
        <is>
          <t>Amazon</t>
        </is>
      </c>
      <c r="I11" s="5" t="inlineStr">
        <is>
          <t>Prevent vibration loosening</t>
        </is>
      </c>
    </row>
    <row r="12">
      <c r="A12" s="9" t="inlineStr">
        <is>
          <t>SUBTOTAL</t>
        </is>
      </c>
      <c r="B12" s="9" t="n"/>
      <c r="C12" s="9" t="n"/>
      <c r="D12" s="9" t="n"/>
      <c r="E12" s="9" t="n"/>
      <c r="F12" s="9" t="n"/>
      <c r="G12" s="10">
        <f>SUM(G2:G11)</f>
        <v/>
      </c>
      <c r="H12" s="9" t="n"/>
      <c r="I12" s="9" t="n"/>
    </row>
  </sheetData>
  <mergeCells count="1"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5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2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2">
      <c r="B2" s="13" t="inlineStr">
        <is>
          <t>PURCHASE ORDER</t>
        </is>
      </c>
    </row>
    <row r="4">
      <c r="B4" s="11" t="inlineStr">
        <is>
          <t>PO Number:</t>
        </is>
      </c>
      <c r="C4" s="3" t="inlineStr">
        <is>
          <t>PO-ARC-2026-001</t>
        </is>
      </c>
    </row>
    <row r="5">
      <c r="B5" s="11" t="inlineStr">
        <is>
          <t>Date:</t>
        </is>
      </c>
      <c r="C5" s="3" t="inlineStr">
        <is>
          <t>2026-03-14</t>
        </is>
      </c>
    </row>
    <row r="6">
      <c r="B6" s="11" t="inlineStr">
        <is>
          <t>Project:</t>
        </is>
      </c>
      <c r="C6" s="3" t="inlineStr">
        <is>
          <t>THE ARCHIVE — Ambient Intelligence (ARC-2026-AI)</t>
        </is>
      </c>
    </row>
    <row r="7">
      <c r="B7" s="11" t="inlineStr">
        <is>
          <t>Ship To:</t>
        </is>
      </c>
      <c r="C7" s="3" t="inlineStr">
        <is>
          <t>[Installation Venue Address]</t>
        </is>
      </c>
    </row>
    <row r="8">
      <c r="B8" s="11" t="inlineStr">
        <is>
          <t>Prepared By:</t>
        </is>
      </c>
      <c r="C8" s="3" t="inlineStr">
        <is>
          <t>Jordan Snyder</t>
        </is>
      </c>
    </row>
    <row r="10">
      <c r="A10" s="4" t="inlineStr">
        <is>
          <t>Line</t>
        </is>
      </c>
      <c r="B10" s="4" t="inlineStr">
        <is>
          <t>Vendor</t>
        </is>
      </c>
      <c r="C10" s="4" t="inlineStr">
        <is>
          <t>Item Description</t>
        </is>
      </c>
      <c r="D10" s="4" t="inlineStr">
        <is>
          <t>Part #/SKU</t>
        </is>
      </c>
      <c r="E10" s="4" t="inlineStr">
        <is>
          <t>Qty</t>
        </is>
      </c>
      <c r="F10" s="4" t="inlineStr">
        <is>
          <t>Unit Price</t>
        </is>
      </c>
      <c r="G10" s="4" t="inlineStr">
        <is>
          <t>Ext. Price</t>
        </is>
      </c>
      <c r="H10" s="4" t="inlineStr">
        <is>
          <t>Lead Time</t>
        </is>
      </c>
      <c r="I10" s="4" t="inlineStr">
        <is>
          <t>Status</t>
        </is>
      </c>
    </row>
    <row r="11">
      <c r="A11" s="12" t="inlineStr">
        <is>
          <t>TAP PLASTICS / CANAL PLASTICS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7" t="n">
        <v>1</v>
      </c>
      <c r="B12" s="7" t="inlineStr">
        <is>
          <t>TAP Plastics</t>
        </is>
      </c>
      <c r="C12" s="7" t="inlineStr">
        <is>
          <t>Smoked 3mm acrylic sheets 12"×16" (×8)</t>
        </is>
      </c>
      <c r="D12" s="7" t="inlineStr">
        <is>
          <t>—</t>
        </is>
      </c>
      <c r="E12" s="7" t="n">
        <v>8</v>
      </c>
      <c r="F12" s="8" t="n">
        <v>12</v>
      </c>
      <c r="G12" s="8">
        <f>E12*F12</f>
        <v/>
      </c>
      <c r="H12" s="7" t="inlineStr">
        <is>
          <t>3-5 days</t>
        </is>
      </c>
      <c r="I12" s="7" t="inlineStr">
        <is>
          <t>Not Ordered</t>
        </is>
      </c>
    </row>
    <row r="13">
      <c r="A13" s="5" t="n">
        <v>2</v>
      </c>
      <c r="B13" s="5" t="inlineStr">
        <is>
          <t>TAP Plastics</t>
        </is>
      </c>
      <c r="C13" s="5" t="inlineStr">
        <is>
          <t>Clear 3mm acrylic sheets 12"×16" (×8)</t>
        </is>
      </c>
      <c r="D13" s="5" t="inlineStr">
        <is>
          <t>—</t>
        </is>
      </c>
      <c r="E13" s="5" t="n">
        <v>8</v>
      </c>
      <c r="F13" s="6" t="n">
        <v>8</v>
      </c>
      <c r="G13" s="6">
        <f>E13*F13</f>
        <v/>
      </c>
      <c r="H13" s="5" t="inlineStr">
        <is>
          <t>3-5 days</t>
        </is>
      </c>
      <c r="I13" s="5" t="inlineStr">
        <is>
          <t>Not Ordered</t>
        </is>
      </c>
    </row>
    <row r="14">
      <c r="A14" s="7" t="n">
        <v>3</v>
      </c>
      <c r="B14" s="7" t="inlineStr">
        <is>
          <t>TAP Plastics</t>
        </is>
      </c>
      <c r="C14" s="7" t="inlineStr">
        <is>
          <t>Black 3mm acrylic strips 12"×2" (×8)</t>
        </is>
      </c>
      <c r="D14" s="7" t="inlineStr">
        <is>
          <t>—</t>
        </is>
      </c>
      <c r="E14" s="7" t="n">
        <v>8</v>
      </c>
      <c r="F14" s="8" t="n">
        <v>4</v>
      </c>
      <c r="G14" s="8">
        <f>E14*F14</f>
        <v/>
      </c>
      <c r="H14" s="7" t="inlineStr">
        <is>
          <t>3-5 days</t>
        </is>
      </c>
      <c r="I14" s="7" t="inlineStr">
        <is>
          <t>Not Ordered</t>
        </is>
      </c>
    </row>
    <row r="15">
      <c r="A15" s="5" t="n">
        <v>4</v>
      </c>
      <c r="B15" s="5" t="inlineStr">
        <is>
          <t>Canal Plastics</t>
        </is>
      </c>
      <c r="C15" s="5" t="inlineStr">
        <is>
          <t>Fluorescent acrylic strips, assorted colors (×8)</t>
        </is>
      </c>
      <c r="D15" s="5" t="inlineStr">
        <is>
          <t>—</t>
        </is>
      </c>
      <c r="E15" s="5" t="n">
        <v>8</v>
      </c>
      <c r="F15" s="6" t="n">
        <v>6</v>
      </c>
      <c r="G15" s="6">
        <f>E15*F15</f>
        <v/>
      </c>
      <c r="H15" s="5" t="inlineStr">
        <is>
          <t>5-7 days</t>
        </is>
      </c>
      <c r="I15" s="5" t="inlineStr">
        <is>
          <t>Not Ordered</t>
        </is>
      </c>
    </row>
    <row r="16">
      <c r="A16" s="7" t="n">
        <v>5</v>
      </c>
      <c r="B16" s="7" t="inlineStr">
        <is>
          <t>TAP Plastics</t>
        </is>
      </c>
      <c r="C16" s="7" t="inlineStr">
        <is>
          <t>Control surface + fan bracket acrylic pieces</t>
        </is>
      </c>
      <c r="D16" s="7" t="inlineStr">
        <is>
          <t>—</t>
        </is>
      </c>
      <c r="E16" s="7" t="n">
        <v>10</v>
      </c>
      <c r="F16" s="8" t="n">
        <v>3</v>
      </c>
      <c r="G16" s="8">
        <f>E16*F16</f>
        <v/>
      </c>
      <c r="H16" s="7" t="inlineStr">
        <is>
          <t>3-5 days</t>
        </is>
      </c>
      <c r="I16" s="7" t="inlineStr">
        <is>
          <t>Not Ordered</t>
        </is>
      </c>
    </row>
    <row r="17">
      <c r="A17" s="5" t="n">
        <v>6</v>
      </c>
      <c r="B17" s="5" t="inlineStr">
        <is>
          <t>SendCutSend</t>
        </is>
      </c>
      <c r="C17" s="5" t="inlineStr">
        <is>
          <t>Laser cutting service (33 pieces, cut + etch)</t>
        </is>
      </c>
      <c r="D17" s="5" t="inlineStr">
        <is>
          <t>Custom</t>
        </is>
      </c>
      <c r="E17" s="5" t="n">
        <v>33</v>
      </c>
      <c r="F17" s="6" t="n">
        <v>15</v>
      </c>
      <c r="G17" s="6">
        <f>E17*F17</f>
        <v/>
      </c>
      <c r="H17" s="5" t="inlineStr">
        <is>
          <t>7-10 days</t>
        </is>
      </c>
      <c r="I17" s="5" t="inlineStr">
        <is>
          <t>Not Ordered</t>
        </is>
      </c>
    </row>
    <row r="18">
      <c r="A18" s="9" t="n"/>
      <c r="B18" s="9" t="n"/>
      <c r="C18" s="9" t="n"/>
      <c r="D18" s="9" t="n"/>
      <c r="E18" s="9" t="n"/>
      <c r="F18" s="9" t="inlineStr">
        <is>
          <t>Subtotal:</t>
        </is>
      </c>
      <c r="G18" s="10">
        <f>SUM(G12:G17)</f>
        <v/>
      </c>
      <c r="H18" s="9" t="n"/>
      <c r="I18" s="9" t="n"/>
    </row>
    <row r="19">
      <c r="A19" s="12" t="inlineStr">
        <is>
          <t>AMAZON / ADAFRUIT / NOCTUA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7" t="n">
        <v>7</v>
      </c>
      <c r="B20" s="7" t="inlineStr">
        <is>
          <t>Amazon</t>
        </is>
      </c>
      <c r="C20" s="7" t="inlineStr">
        <is>
          <t>ESP32 DevKit V1 (WiFi+BT) × 9</t>
        </is>
      </c>
      <c r="D20" s="7" t="inlineStr">
        <is>
          <t>ESP-WROOM-32</t>
        </is>
      </c>
      <c r="E20" s="7" t="n">
        <v>9</v>
      </c>
      <c r="F20" s="8" t="n">
        <v>6</v>
      </c>
      <c r="G20" s="8">
        <f>E20*F20</f>
        <v/>
      </c>
      <c r="H20" s="7" t="inlineStr">
        <is>
          <t>2-3 days</t>
        </is>
      </c>
      <c r="I20" s="7" t="inlineStr">
        <is>
          <t>Not Ordered</t>
        </is>
      </c>
    </row>
    <row r="21">
      <c r="A21" s="5" t="n">
        <v>8</v>
      </c>
      <c r="B21" s="5" t="inlineStr">
        <is>
          <t>Amazon</t>
        </is>
      </c>
      <c r="C21" s="5" t="inlineStr">
        <is>
          <t>0.96" OLED SSD1306 I2C modules × 8</t>
        </is>
      </c>
      <c r="D21" s="5" t="inlineStr">
        <is>
          <t>SSD1306</t>
        </is>
      </c>
      <c r="E21" s="5" t="n">
        <v>8</v>
      </c>
      <c r="F21" s="6" t="n">
        <v>4</v>
      </c>
      <c r="G21" s="6">
        <f>E21*F21</f>
        <v/>
      </c>
      <c r="H21" s="5" t="inlineStr">
        <is>
          <t>2-3 days</t>
        </is>
      </c>
      <c r="I21" s="5" t="inlineStr">
        <is>
          <t>Not Ordered</t>
        </is>
      </c>
    </row>
    <row r="22">
      <c r="A22" s="7" t="n">
        <v>9</v>
      </c>
      <c r="B22" s="7" t="inlineStr">
        <is>
          <t>Amazon</t>
        </is>
      </c>
      <c r="C22" s="7" t="inlineStr">
        <is>
          <t>W5500 Ethernet modules × 9 (optional)</t>
        </is>
      </c>
      <c r="D22" s="7" t="inlineStr">
        <is>
          <t>W5500-SPI</t>
        </is>
      </c>
      <c r="E22" s="7" t="n">
        <v>9</v>
      </c>
      <c r="F22" s="8" t="n">
        <v>4</v>
      </c>
      <c r="G22" s="8">
        <f>E22*F22</f>
        <v/>
      </c>
      <c r="H22" s="7" t="inlineStr">
        <is>
          <t>2-5 days</t>
        </is>
      </c>
      <c r="I22" s="7" t="inlineStr">
        <is>
          <t>Not Ordered</t>
        </is>
      </c>
    </row>
    <row r="23">
      <c r="A23" s="5" t="n">
        <v>10</v>
      </c>
      <c r="B23" s="5" t="inlineStr">
        <is>
          <t>Amazon</t>
        </is>
      </c>
      <c r="C23" s="5" t="inlineStr">
        <is>
          <t>16-port Gigabit Ethernet Switch</t>
        </is>
      </c>
      <c r="D23" s="5" t="inlineStr">
        <is>
          <t>TL-SG116</t>
        </is>
      </c>
      <c r="E23" s="5" t="n">
        <v>1</v>
      </c>
      <c r="F23" s="6" t="n">
        <v>45</v>
      </c>
      <c r="G23" s="6">
        <f>E23*F23</f>
        <v/>
      </c>
      <c r="H23" s="5" t="inlineStr">
        <is>
          <t>2-3 days</t>
        </is>
      </c>
      <c r="I23" s="5" t="inlineStr">
        <is>
          <t>Not Ordered</t>
        </is>
      </c>
    </row>
    <row r="24">
      <c r="A24" s="7" t="n">
        <v>11</v>
      </c>
      <c r="B24" s="7" t="inlineStr">
        <is>
          <t>Amazon</t>
        </is>
      </c>
      <c r="C24" s="7" t="inlineStr">
        <is>
          <t>Cat6 Ethernet Cables 3ft, black × 9</t>
        </is>
      </c>
      <c r="D24" s="7" t="inlineStr">
        <is>
          <t>—</t>
        </is>
      </c>
      <c r="E24" s="7" t="n">
        <v>9</v>
      </c>
      <c r="F24" s="8" t="n">
        <v>2</v>
      </c>
      <c r="G24" s="8">
        <f>E24*F24</f>
        <v/>
      </c>
      <c r="H24" s="7" t="inlineStr">
        <is>
          <t>2-3 days</t>
        </is>
      </c>
      <c r="I24" s="7" t="inlineStr">
        <is>
          <t>Not Ordered</t>
        </is>
      </c>
    </row>
    <row r="25">
      <c r="A25" s="5" t="n">
        <v>12</v>
      </c>
      <c r="B25" s="5" t="inlineStr">
        <is>
          <t>Amazon</t>
        </is>
      </c>
      <c r="C25" s="5" t="inlineStr">
        <is>
          <t>Noctua NF-A4x10 5V 40mm fans × 8</t>
        </is>
      </c>
      <c r="D25" s="5" t="inlineStr">
        <is>
          <t>NF-A4x10-5V</t>
        </is>
      </c>
      <c r="E25" s="5" t="n">
        <v>8</v>
      </c>
      <c r="F25" s="6" t="n">
        <v>14</v>
      </c>
      <c r="G25" s="6">
        <f>E25*F25</f>
        <v/>
      </c>
      <c r="H25" s="5" t="inlineStr">
        <is>
          <t>2-3 days</t>
        </is>
      </c>
      <c r="I25" s="5" t="inlineStr">
        <is>
          <t>Not Ordered</t>
        </is>
      </c>
    </row>
    <row r="26">
      <c r="A26" s="7" t="n">
        <v>13</v>
      </c>
      <c r="B26" s="7" t="inlineStr">
        <is>
          <t>Amazon</t>
        </is>
      </c>
      <c r="C26" s="7" t="inlineStr">
        <is>
          <t>Mean Well 5V 10A PSU</t>
        </is>
      </c>
      <c r="D26" s="7" t="inlineStr">
        <is>
          <t>LRS-50-5</t>
        </is>
      </c>
      <c r="E26" s="7" t="n">
        <v>1</v>
      </c>
      <c r="F26" s="8" t="n">
        <v>18</v>
      </c>
      <c r="G26" s="8">
        <f>E26*F26</f>
        <v/>
      </c>
      <c r="H26" s="7" t="inlineStr">
        <is>
          <t>2-3 days</t>
        </is>
      </c>
      <c r="I26" s="7" t="inlineStr">
        <is>
          <t>Not Ordered</t>
        </is>
      </c>
    </row>
    <row r="27">
      <c r="A27" s="5" t="n">
        <v>14</v>
      </c>
      <c r="B27" s="5" t="inlineStr">
        <is>
          <t>Amazon</t>
        </is>
      </c>
      <c r="C27" s="5" t="inlineStr">
        <is>
          <t>Power distribution board + barrel jacks</t>
        </is>
      </c>
      <c r="D27" s="5" t="inlineStr">
        <is>
          <t>—</t>
        </is>
      </c>
      <c r="E27" s="5" t="n">
        <v>1</v>
      </c>
      <c r="F27" s="6" t="n">
        <v>21</v>
      </c>
      <c r="G27" s="6">
        <f>E27*F27</f>
        <v/>
      </c>
      <c r="H27" s="5" t="inlineStr">
        <is>
          <t>2-3 days</t>
        </is>
      </c>
      <c r="I27" s="5" t="inlineStr">
        <is>
          <t>Not Ordered</t>
        </is>
      </c>
    </row>
    <row r="28">
      <c r="A28" s="7" t="n">
        <v>15</v>
      </c>
      <c r="B28" s="7" t="inlineStr">
        <is>
          <t>Amazon</t>
        </is>
      </c>
      <c r="C28" s="7" t="inlineStr">
        <is>
          <t>USB-C cables, jumper wires, cable mgmt bundle</t>
        </is>
      </c>
      <c r="D28" s="7" t="inlineStr">
        <is>
          <t>—</t>
        </is>
      </c>
      <c r="E28" s="7" t="n">
        <v>1</v>
      </c>
      <c r="F28" s="8" t="n">
        <v>80</v>
      </c>
      <c r="G28" s="8">
        <f>E28*F28</f>
        <v/>
      </c>
      <c r="H28" s="7" t="inlineStr">
        <is>
          <t>2-3 days</t>
        </is>
      </c>
      <c r="I28" s="7" t="inlineStr">
        <is>
          <t>Not Ordered</t>
        </is>
      </c>
    </row>
    <row r="29">
      <c r="A29" s="5" t="n">
        <v>16</v>
      </c>
      <c r="B29" s="5" t="inlineStr">
        <is>
          <t>Amazon</t>
        </is>
      </c>
      <c r="C29" s="5" t="inlineStr">
        <is>
          <t>Consumables bundle (solder, tape, IPA, cloths, etc.)</t>
        </is>
      </c>
      <c r="D29" s="5" t="inlineStr">
        <is>
          <t>—</t>
        </is>
      </c>
      <c r="E29" s="5" t="n">
        <v>1</v>
      </c>
      <c r="F29" s="6" t="n">
        <v>67</v>
      </c>
      <c r="G29" s="6">
        <f>E29*F29</f>
        <v/>
      </c>
      <c r="H29" s="5" t="inlineStr">
        <is>
          <t>2-3 days</t>
        </is>
      </c>
      <c r="I29" s="5" t="inlineStr">
        <is>
          <t>Not Ordered</t>
        </is>
      </c>
    </row>
    <row r="30">
      <c r="A30" s="9" t="n"/>
      <c r="B30" s="9" t="n"/>
      <c r="C30" s="9" t="n"/>
      <c r="D30" s="9" t="n"/>
      <c r="E30" s="9" t="n"/>
      <c r="F30" s="9" t="inlineStr">
        <is>
          <t>Subtotal:</t>
        </is>
      </c>
      <c r="G30" s="10">
        <f>SUM(G20:G29)</f>
        <v/>
      </c>
      <c r="H30" s="9" t="n"/>
      <c r="I30" s="9" t="n"/>
    </row>
    <row r="31">
      <c r="A31" s="12" t="inlineStr">
        <is>
          <t>MCMASTER-CARR / BOLT DEPOT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7" t="n">
        <v>17</v>
      </c>
      <c r="B32" s="7" t="inlineStr">
        <is>
          <t>McMaster-Carr</t>
        </is>
      </c>
      <c r="C32" s="7" t="inlineStr">
        <is>
          <t>M3 Brass Standoffs 15mm × 100</t>
        </is>
      </c>
      <c r="D32" s="7" t="inlineStr">
        <is>
          <t>91780A</t>
        </is>
      </c>
      <c r="E32" s="7" t="n">
        <v>100</v>
      </c>
      <c r="F32" s="8" t="n">
        <v>0.25</v>
      </c>
      <c r="G32" s="8">
        <f>E32*F32</f>
        <v/>
      </c>
      <c r="H32" s="7" t="inlineStr">
        <is>
          <t>1-2 days</t>
        </is>
      </c>
      <c r="I32" s="7" t="inlineStr">
        <is>
          <t>Not Ordered</t>
        </is>
      </c>
    </row>
    <row r="33">
      <c r="A33" s="5" t="n">
        <v>18</v>
      </c>
      <c r="B33" s="5" t="inlineStr">
        <is>
          <t>McMaster-Carr</t>
        </is>
      </c>
      <c r="C33" s="5" t="inlineStr">
        <is>
          <t>M3 Socket Head Screws 6mm × 110</t>
        </is>
      </c>
      <c r="D33" s="5" t="inlineStr">
        <is>
          <t>91292A</t>
        </is>
      </c>
      <c r="E33" s="5" t="n">
        <v>110</v>
      </c>
      <c r="F33" s="6" t="n">
        <v>0.1</v>
      </c>
      <c r="G33" s="6">
        <f>E33*F33</f>
        <v/>
      </c>
      <c r="H33" s="5" t="inlineStr">
        <is>
          <t>1-2 days</t>
        </is>
      </c>
      <c r="I33" s="5" t="inlineStr">
        <is>
          <t>Not Ordered</t>
        </is>
      </c>
    </row>
    <row r="34">
      <c r="A34" s="7" t="n">
        <v>19</v>
      </c>
      <c r="B34" s="7" t="inlineStr">
        <is>
          <t>McMaster-Carr</t>
        </is>
      </c>
      <c r="C34" s="7" t="inlineStr">
        <is>
          <t>M3 Nuts × 100 + M3 Nylon Washers × 200</t>
        </is>
      </c>
      <c r="D34" s="7" t="inlineStr">
        <is>
          <t>Various</t>
        </is>
      </c>
      <c r="E34" s="7" t="n">
        <v>300</v>
      </c>
      <c r="F34" s="8" t="n">
        <v>0.04</v>
      </c>
      <c r="G34" s="8">
        <f>E34*F34</f>
        <v/>
      </c>
      <c r="H34" s="7" t="inlineStr">
        <is>
          <t>1-2 days</t>
        </is>
      </c>
      <c r="I34" s="7" t="inlineStr">
        <is>
          <t>Not Ordered</t>
        </is>
      </c>
    </row>
    <row r="35">
      <c r="A35" s="5" t="n">
        <v>20</v>
      </c>
      <c r="B35" s="5" t="inlineStr">
        <is>
          <t>McMaster-Carr</t>
        </is>
      </c>
      <c r="C35" s="5" t="inlineStr">
        <is>
          <t>M4 Screws 20mm × 55 + M4 Nuts × 55 + Washers × 55</t>
        </is>
      </c>
      <c r="D35" s="5" t="inlineStr">
        <is>
          <t>Various</t>
        </is>
      </c>
      <c r="E35" s="5" t="n">
        <v>165</v>
      </c>
      <c r="F35" s="6" t="n">
        <v>0.1</v>
      </c>
      <c r="G35" s="6">
        <f>E35*F35</f>
        <v/>
      </c>
      <c r="H35" s="5" t="inlineStr">
        <is>
          <t>1-2 days</t>
        </is>
      </c>
      <c r="I35" s="5" t="inlineStr">
        <is>
          <t>Not Ordered</t>
        </is>
      </c>
    </row>
    <row r="36">
      <c r="A36" s="7" t="n">
        <v>21</v>
      </c>
      <c r="B36" s="7" t="inlineStr">
        <is>
          <t>McMaster-Carr</t>
        </is>
      </c>
      <c r="C36" s="7" t="inlineStr">
        <is>
          <t>M3 Fan/bracket screws (8mm + 12mm) × 80</t>
        </is>
      </c>
      <c r="D36" s="7" t="inlineStr">
        <is>
          <t>Various</t>
        </is>
      </c>
      <c r="E36" s="7" t="n">
        <v>80</v>
      </c>
      <c r="F36" s="8" t="n">
        <v>0.1</v>
      </c>
      <c r="G36" s="8">
        <f>E36*F36</f>
        <v/>
      </c>
      <c r="H36" s="7" t="inlineStr">
        <is>
          <t>1-2 days</t>
        </is>
      </c>
      <c r="I36" s="7" t="inlineStr">
        <is>
          <t>Not Ordered</t>
        </is>
      </c>
    </row>
    <row r="37">
      <c r="A37" s="5" t="n">
        <v>22</v>
      </c>
      <c r="B37" s="5" t="inlineStr">
        <is>
          <t>Amazon</t>
        </is>
      </c>
      <c r="C37" s="5" t="inlineStr">
        <is>
          <t>French Cleat Rails 12" × 8 + Wall Anchors × 16</t>
        </is>
      </c>
      <c r="D37" s="5" t="inlineStr">
        <is>
          <t>—</t>
        </is>
      </c>
      <c r="E37" s="5" t="n">
        <v>8</v>
      </c>
      <c r="F37" s="6" t="n">
        <v>6</v>
      </c>
      <c r="G37" s="6">
        <f>E37*F37</f>
        <v/>
      </c>
      <c r="H37" s="5" t="inlineStr">
        <is>
          <t>2-3 days</t>
        </is>
      </c>
      <c r="I37" s="5" t="inlineStr">
        <is>
          <t>Not Ordered</t>
        </is>
      </c>
    </row>
    <row r="38">
      <c r="A38" s="9" t="n"/>
      <c r="B38" s="9" t="n"/>
      <c r="C38" s="9" t="n"/>
      <c r="D38" s="9" t="n"/>
      <c r="E38" s="9" t="n"/>
      <c r="F38" s="9" t="inlineStr">
        <is>
          <t>Subtotal:</t>
        </is>
      </c>
      <c r="G38" s="10">
        <f>SUM(G32:G37)</f>
        <v/>
      </c>
      <c r="H38" s="9" t="n"/>
      <c r="I38" s="9" t="n"/>
    </row>
    <row r="39">
      <c r="A39" s="12" t="inlineStr">
        <is>
          <t>MOUSER / DIGIKEY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7" t="n">
        <v>23</v>
      </c>
      <c r="B40" s="7" t="inlineStr">
        <is>
          <t>Mouser</t>
        </is>
      </c>
      <c r="C40" s="7" t="inlineStr">
        <is>
          <t>B10K Potentiometers 16mm × 4</t>
        </is>
      </c>
      <c r="D40" s="7" t="inlineStr">
        <is>
          <t>P160KN-B10K</t>
        </is>
      </c>
      <c r="E40" s="7" t="n">
        <v>4</v>
      </c>
      <c r="F40" s="8" t="n">
        <v>2</v>
      </c>
      <c r="G40" s="8">
        <f>E40*F40</f>
        <v/>
      </c>
      <c r="H40" s="7" t="inlineStr">
        <is>
          <t>3-5 days</t>
        </is>
      </c>
      <c r="I40" s="7" t="inlineStr">
        <is>
          <t>Not Ordered</t>
        </is>
      </c>
    </row>
    <row r="41">
      <c r="A41" s="5" t="n">
        <v>24</v>
      </c>
      <c r="B41" s="5" t="inlineStr">
        <is>
          <t>Mouser</t>
        </is>
      </c>
      <c r="C41" s="5" t="inlineStr">
        <is>
          <t>Aluminum Pot Knobs × 4 + Anti-rotation washers × 4</t>
        </is>
      </c>
      <c r="D41" s="5" t="inlineStr">
        <is>
          <t>—</t>
        </is>
      </c>
      <c r="E41" s="5" t="n">
        <v>4</v>
      </c>
      <c r="F41" s="6" t="n">
        <v>3.25</v>
      </c>
      <c r="G41" s="6">
        <f>E41*F41</f>
        <v/>
      </c>
      <c r="H41" s="5" t="inlineStr">
        <is>
          <t>3-5 days</t>
        </is>
      </c>
      <c r="I41" s="5" t="inlineStr">
        <is>
          <t>Not Ordered</t>
        </is>
      </c>
    </row>
    <row r="42">
      <c r="A42" s="7" t="n">
        <v>25</v>
      </c>
      <c r="B42" s="7" t="inlineStr">
        <is>
          <t>Mouser</t>
        </is>
      </c>
      <c r="C42" s="7" t="inlineStr">
        <is>
          <t>Resistor packs (10kΩ + 4.7kΩ) × 2</t>
        </is>
      </c>
      <c r="D42" s="7" t="inlineStr">
        <is>
          <t>—</t>
        </is>
      </c>
      <c r="E42" s="7" t="n">
        <v>2</v>
      </c>
      <c r="F42" s="8" t="n">
        <v>3</v>
      </c>
      <c r="G42" s="8">
        <f>E42*F42</f>
        <v/>
      </c>
      <c r="H42" s="7" t="inlineStr">
        <is>
          <t>3-5 days</t>
        </is>
      </c>
      <c r="I42" s="7" t="inlineStr">
        <is>
          <t>Not Ordered</t>
        </is>
      </c>
    </row>
    <row r="43">
      <c r="A43" s="5" t="n">
        <v>26</v>
      </c>
      <c r="B43" s="5" t="inlineStr">
        <is>
          <t>Mouser</t>
        </is>
      </c>
      <c r="C43" s="5" t="inlineStr">
        <is>
          <t>Capacitor packs (0.1µF×50 + 100µF×10)</t>
        </is>
      </c>
      <c r="D43" s="5" t="inlineStr">
        <is>
          <t>—</t>
        </is>
      </c>
      <c r="E43" s="5" t="n">
        <v>2</v>
      </c>
      <c r="F43" s="6" t="n">
        <v>4</v>
      </c>
      <c r="G43" s="6">
        <f>E43*F43</f>
        <v/>
      </c>
      <c r="H43" s="5" t="inlineStr">
        <is>
          <t>3-5 days</t>
        </is>
      </c>
      <c r="I43" s="5" t="inlineStr">
        <is>
          <t>Not Ordered</t>
        </is>
      </c>
    </row>
    <row r="44">
      <c r="A44" s="7" t="n">
        <v>27</v>
      </c>
      <c r="B44" s="7" t="inlineStr">
        <is>
          <t>Amazon</t>
        </is>
      </c>
      <c r="C44" s="7" t="inlineStr">
        <is>
          <t>Perfboard 5×7cm × 10</t>
        </is>
      </c>
      <c r="D44" s="7" t="inlineStr">
        <is>
          <t>—</t>
        </is>
      </c>
      <c r="E44" s="7" t="n">
        <v>10</v>
      </c>
      <c r="F44" s="8" t="n">
        <v>1</v>
      </c>
      <c r="G44" s="8">
        <f>E44*F44</f>
        <v/>
      </c>
      <c r="H44" s="7" t="inlineStr">
        <is>
          <t>2-3 days</t>
        </is>
      </c>
      <c r="I44" s="7" t="inlineStr">
        <is>
          <t>Not Ordered</t>
        </is>
      </c>
    </row>
    <row r="45">
      <c r="A45" s="9" t="n"/>
      <c r="B45" s="9" t="n"/>
      <c r="C45" s="9" t="n"/>
      <c r="D45" s="9" t="n"/>
      <c r="E45" s="9" t="n"/>
      <c r="F45" s="9" t="inlineStr">
        <is>
          <t>Subtotal:</t>
        </is>
      </c>
      <c r="G45" s="10">
        <f>SUM(G40:G44)</f>
        <v/>
      </c>
      <c r="H45" s="9" t="n"/>
      <c r="I45" s="9" t="n"/>
    </row>
    <row r="47">
      <c r="A47" s="9" t="n"/>
      <c r="B47" s="9" t="n"/>
      <c r="C47" s="9" t="n"/>
      <c r="D47" s="9" t="n"/>
      <c r="E47" s="9" t="n"/>
      <c r="F47" s="9" t="inlineStr">
        <is>
          <t>Materials Subtotal:</t>
        </is>
      </c>
      <c r="G47" s="10">
        <f>G18+G30+G38+G45</f>
        <v/>
      </c>
      <c r="H47" s="9" t="n"/>
      <c r="I47" s="9" t="n"/>
    </row>
    <row r="48">
      <c r="A48" s="7" t="n"/>
      <c r="B48" s="7" t="n"/>
      <c r="C48" s="7" t="n"/>
      <c r="D48" s="7" t="n"/>
      <c r="E48" s="7" t="n"/>
      <c r="F48" s="7" t="inlineStr">
        <is>
          <t>Shipping (est. 10%):</t>
        </is>
      </c>
      <c r="G48" s="8">
        <f>G47*0.10</f>
        <v/>
      </c>
      <c r="H48" s="7" t="n"/>
      <c r="I48" s="7" t="n"/>
    </row>
    <row r="49">
      <c r="A49" s="7" t="n"/>
      <c r="B49" s="7" t="n"/>
      <c r="C49" s="7" t="n"/>
      <c r="D49" s="7" t="n"/>
      <c r="E49" s="7" t="n"/>
      <c r="F49" s="7" t="inlineStr">
        <is>
          <t>Tax (est. 8.5%):</t>
        </is>
      </c>
      <c r="G49" s="8">
        <f>G47*0.085</f>
        <v/>
      </c>
      <c r="H49" s="7" t="n"/>
      <c r="I49" s="7" t="n"/>
    </row>
    <row r="50">
      <c r="A50" s="7" t="n"/>
      <c r="B50" s="7" t="n"/>
      <c r="C50" s="7" t="n"/>
      <c r="D50" s="7" t="n"/>
      <c r="E50" s="7" t="n"/>
      <c r="F50" s="7" t="inlineStr">
        <is>
          <t>Contingency (10%):</t>
        </is>
      </c>
      <c r="G50" s="8">
        <f>G47*0.10</f>
        <v/>
      </c>
      <c r="H50" s="7" t="n"/>
      <c r="I50" s="7" t="n"/>
    </row>
    <row r="51">
      <c r="A51" s="9" t="n"/>
      <c r="B51" s="9" t="n"/>
      <c r="C51" s="9" t="n"/>
      <c r="D51" s="9" t="n"/>
      <c r="E51" s="9" t="n"/>
      <c r="F51" s="9" t="inlineStr">
        <is>
          <t>GRAND TOTAL:</t>
        </is>
      </c>
      <c r="G51" s="10">
        <f>SUM(G47:G50)</f>
        <v/>
      </c>
      <c r="H51" s="9" t="n"/>
      <c r="I51" s="9" t="n"/>
    </row>
  </sheetData>
  <mergeCells count="5">
    <mergeCell ref="A19:I19"/>
    <mergeCell ref="A11:I11"/>
    <mergeCell ref="B2:H2"/>
    <mergeCell ref="A31:I31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2026-03-14T14:56:15Z</dcterms:created>
  <dcterms:modified xsi:type="dcterms:W3CDTF">2026-03-14T14:56:15Z</dcterms:modified>
</cp:coreProperties>
</file>